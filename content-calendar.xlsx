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Summary" sheetId="2" state="visible" r:id="rId4"/>
    <sheet name="Playbook" sheetId="3" state="visible" r:id="rId5"/>
    <sheet name="Per-Pos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<sst xmlns="http://schemas.openxmlformats.org/spreadsheetml/2006/main" count="610" uniqueCount="337">
  <si>
    <t xml:space="preserve">Week #</t>
  </si>
  <si>
    <t xml:space="preserve">Publish Date</t>
  </si>
  <si>
    <t xml:space="preserve">Pillar</t>
  </si>
  <si>
    <t xml:space="preserve">Target Town</t>
  </si>
  <si>
    <t xml:space="preserve">Primary Keyword</t>
  </si>
  <si>
    <t xml:space="preserve">Secondary Keywords</t>
  </si>
  <si>
    <t xml:space="preserve">Search Intent</t>
  </si>
  <si>
    <t xml:space="preserve">Title</t>
  </si>
  <si>
    <t xml:space="preserve">URL Slug</t>
  </si>
  <si>
    <t xml:space="preserve">Internal Link Targets</t>
  </si>
  <si>
    <t xml:space="preserve">Priority</t>
  </si>
  <si>
    <t xml:space="preserve">Status</t>
  </si>
  <si>
    <t xml:space="preserve">Notes</t>
  </si>
  <si>
    <t xml:space="preserve">Maine State Inspection</t>
  </si>
  <si>
    <t xml:space="preserve">Portland</t>
  </si>
  <si>
    <t xml:space="preserve">maine state inspection portland</t>
  </si>
  <si>
    <t xml:space="preserve">inspection sticker portland, $18.50 inspection maine</t>
  </si>
  <si>
    <t xml:space="preserve">Commercial</t>
  </si>
  <si>
    <t xml:space="preserve">Maine State Inspection Near Portland, ME: What $18.50 Actually Gets You</t>
  </si>
  <si>
    <t xml:space="preserve">maine-state-inspection-portland</t>
  </si>
  <si>
    <t xml:space="preserve">/cities/portland.html, /services.html#inspection, /faq.html</t>
  </si>
  <si>
    <t xml:space="preserve">P0</t>
  </si>
  <si>
    <t xml:space="preserve">Not started</t>
  </si>
  <si>
    <t xml:space="preserve">Brakes</t>
  </si>
  <si>
    <t xml:space="preserve">brake repair portland maine</t>
  </si>
  <si>
    <t xml:space="preserve">brake pads portland, brake rotors portland</t>
  </si>
  <si>
    <t xml:space="preserve">Brake Repair in Portland, Maine: Pads, Rotors, and What Dealerships Charge Too Much For</t>
  </si>
  <si>
    <t xml:space="preserve">brake-repair-portland-maine</t>
  </si>
  <si>
    <t xml:space="preserve">/cities/portland.html, /services.html#brakes</t>
  </si>
  <si>
    <t xml:space="preserve">Check Engine / Diagnostics</t>
  </si>
  <si>
    <t xml:space="preserve">Scarborough</t>
  </si>
  <si>
    <t xml:space="preserve">check engine light scarborough</t>
  </si>
  <si>
    <t xml:space="preserve">OBDII scan scarborough, diagnostic scarborough maine</t>
  </si>
  <si>
    <t xml:space="preserve">Informational</t>
  </si>
  <si>
    <t xml:space="preserve">Check Engine Light On in Scarborough? Here's What It Costs to Actually Diagnose</t>
  </si>
  <si>
    <t xml:space="preserve">check-engine-light-scarborough</t>
  </si>
  <si>
    <t xml:space="preserve">/cities/scarborough.html, /services.html#diagnostics</t>
  </si>
  <si>
    <t xml:space="preserve">P1</t>
  </si>
  <si>
    <t xml:space="preserve">Seasonal (Winter/Summer)</t>
  </si>
  <si>
    <t xml:space="preserve">Sebago</t>
  </si>
  <si>
    <t xml:space="preserve">spring car checkup maine</t>
  </si>
  <si>
    <t xml:space="preserve">spring maintenance sebago, after winter car maine</t>
  </si>
  <si>
    <t xml:space="preserve">Your Spring Car Checkup: What Maine Winters Break and How to Find It</t>
  </si>
  <si>
    <t xml:space="preserve">spring-car-checkup-maine</t>
  </si>
  <si>
    <t xml:space="preserve">/services.html, /faq.html</t>
  </si>
  <si>
    <t xml:space="preserve">South Portland</t>
  </si>
  <si>
    <t xml:space="preserve">maine inspection south portland</t>
  </si>
  <si>
    <t xml:space="preserve">south portland inspection sticker, cumberland county inspection</t>
  </si>
  <si>
    <t xml:space="preserve">Maine State Inspection in South Portland: Where to Go, What It Costs, What They Check</t>
  </si>
  <si>
    <t xml:space="preserve">maine-inspection-south-portland</t>
  </si>
  <si>
    <t xml:space="preserve">/cities/south-portland.html, /services.html#inspection</t>
  </si>
  <si>
    <t xml:space="preserve">Westbrook</t>
  </si>
  <si>
    <t xml:space="preserve">brake service westbrook maine</t>
  </si>
  <si>
    <t xml:space="preserve">brake pads westbrook, squeaky brakes westbrook</t>
  </si>
  <si>
    <t xml:space="preserve">Brake Service in Westbrook, Maine: How to Tell When Pads Are Actually Done</t>
  </si>
  <si>
    <t xml:space="preserve">brake-service-westbrook-maine</t>
  </si>
  <si>
    <t xml:space="preserve">/cities/westbrook.html, /services.html#brakes</t>
  </si>
  <si>
    <t xml:space="preserve">Tires &amp; Alignment</t>
  </si>
  <si>
    <t xml:space="preserve">Yarmouth</t>
  </si>
  <si>
    <t xml:space="preserve">tire rotation yarmouth maine</t>
  </si>
  <si>
    <t xml:space="preserve">alignment yarmouth, new tires yarmouth</t>
  </si>
  <si>
    <t xml:space="preserve">Tires, Rotations, and Alignments for Yarmouth Commuters on I-295</t>
  </si>
  <si>
    <t xml:space="preserve">tires-alignment-yarmouth-maine</t>
  </si>
  <si>
    <t xml:space="preserve">/cities/yarmouth.html, /services.html#tires</t>
  </si>
  <si>
    <t xml:space="preserve">Oil &amp; Fluids</t>
  </si>
  <si>
    <t xml:space="preserve">Falmouth</t>
  </si>
  <si>
    <t xml:space="preserve">oil change falmouth maine</t>
  </si>
  <si>
    <t xml:space="preserve">synthetic oil falmouth, how often oil change maine</t>
  </si>
  <si>
    <t xml:space="preserve">Oil Change Intervals for Falmouth Drivers: Synthetic vs Conventional, Real Numbers</t>
  </si>
  <si>
    <t xml:space="preserve">oil-change-falmouth-maine</t>
  </si>
  <si>
    <t xml:space="preserve">/cities/falmouth.html, /services.html#oil</t>
  </si>
  <si>
    <t xml:space="preserve">Raymond</t>
  </si>
  <si>
    <t xml:space="preserve">boat trailer maintenance maine</t>
  </si>
  <si>
    <t xml:space="preserve">trailer hitch raymond, tow vehicle check maine</t>
  </si>
  <si>
    <t xml:space="preserve">Towing to Sebago Lake This Summer? Run Through This Tow-Rig Checklist First</t>
  </si>
  <si>
    <t xml:space="preserve">boat-trailer-maintenance-maine</t>
  </si>
  <si>
    <t xml:space="preserve">/cities/raymond.html, /services.html#towing</t>
  </si>
  <si>
    <t xml:space="preserve">flashing check engine light maine</t>
  </si>
  <si>
    <t xml:space="preserve">flashing CEL portland, misfire diagnosis maine</t>
  </si>
  <si>
    <t xml:space="preserve">Flashing Check Engine Light in Portland: Why You Should Pull Over Now</t>
  </si>
  <si>
    <t xml:space="preserve">flashing-check-engine-light-maine</t>
  </si>
  <si>
    <t xml:space="preserve">/cities/portland.html, /services.html#diagnostics</t>
  </si>
  <si>
    <t xml:space="preserve">Cape Elizabeth</t>
  </si>
  <si>
    <t xml:space="preserve">brake repair cape elizabeth</t>
  </si>
  <si>
    <t xml:space="preserve">cape elizabeth brakes, brake caliper cape elizabeth</t>
  </si>
  <si>
    <t xml:space="preserve">Brake Repair in Cape Elizabeth: When It's the Pads, and When It's the Caliper</t>
  </si>
  <si>
    <t xml:space="preserve">brake-repair-cape-elizabeth</t>
  </si>
  <si>
    <t xml:space="preserve">/cities/cape-elizabeth.html, /services.html#brakes</t>
  </si>
  <si>
    <t xml:space="preserve">Freeport</t>
  </si>
  <si>
    <t xml:space="preserve">maine state inspection freeport</t>
  </si>
  <si>
    <t xml:space="preserve">freeport inspection sticker, cumberland county inspection fee</t>
  </si>
  <si>
    <t xml:space="preserve">Maine State Inspection in Freeport: $18.50, 45 Minutes, Honest Pass/Fail</t>
  </si>
  <si>
    <t xml:space="preserve">maine-state-inspection-freeport</t>
  </si>
  <si>
    <t xml:space="preserve">/cities/freeport.html, /services.html#inspection</t>
  </si>
  <si>
    <t xml:space="preserve">new tires scarborough maine</t>
  </si>
  <si>
    <t xml:space="preserve">tire pressure scarborough, all season tires maine</t>
  </si>
  <si>
    <t xml:space="preserve">Tire Buying Guide for Scarborough Drivers: Coastal Miles, Winter Stops, Honest Tread</t>
  </si>
  <si>
    <t xml:space="preserve">new-tires-scarborough-maine</t>
  </si>
  <si>
    <t xml:space="preserve">/cities/scarborough.html, /services.html#tires</t>
  </si>
  <si>
    <t xml:space="preserve">OBDII scan westbrook maine</t>
  </si>
  <si>
    <t xml:space="preserve">check engine code westbrook, diagnostic fee maine</t>
  </si>
  <si>
    <t xml:space="preserve">What an OBDII Scan Actually Costs in Westbrook (and Why Free Isn't Always Free)</t>
  </si>
  <si>
    <t xml:space="preserve">obdii-scan-westbrook-maine</t>
  </si>
  <si>
    <t xml:space="preserve">/cities/westbrook.html, /services.html#diagnostics</t>
  </si>
  <si>
    <t xml:space="preserve">brake pads south portland</t>
  </si>
  <si>
    <t xml:space="preserve">brake replacement south portland, brake noise maine</t>
  </si>
  <si>
    <t xml:space="preserve">Brake Pad Replacement in South Portland: Symptoms, Timing, and Real Pricing</t>
  </si>
  <si>
    <t xml:space="preserve">brake-pads-south-portland</t>
  </si>
  <si>
    <t xml:space="preserve">/cities/south-portland.html, /services.html#brakes</t>
  </si>
  <si>
    <t xml:space="preserve">Cumberland</t>
  </si>
  <si>
    <t xml:space="preserve">synthetic oil change cumberland maine</t>
  </si>
  <si>
    <t xml:space="preserve">cumberland oil change, transmission fluid maine</t>
  </si>
  <si>
    <t xml:space="preserve">Synthetic Oil vs Conventional: Which One Makes Sense for Cumberland Drivers</t>
  </si>
  <si>
    <t xml:space="preserve">synthetic-oil-cumberland-maine</t>
  </si>
  <si>
    <t xml:space="preserve">/cities/cumberland.html, /services.html#oil</t>
  </si>
  <si>
    <t xml:space="preserve">P2</t>
  </si>
  <si>
    <t xml:space="preserve">Standish</t>
  </si>
  <si>
    <t xml:space="preserve">fall car maintenance maine</t>
  </si>
  <si>
    <t xml:space="preserve">winter prep maine, tire changeover standish</t>
  </si>
  <si>
    <t xml:space="preserve">Fall Car Maintenance in Maine: The 8-Point Pre-Winter Checklist</t>
  </si>
  <si>
    <t xml:space="preserve">fall-car-maintenance-maine</t>
  </si>
  <si>
    <t xml:space="preserve">Gorham</t>
  </si>
  <si>
    <t xml:space="preserve">snow tires gorham maine</t>
  </si>
  <si>
    <t xml:space="preserve">winter tires gorham, studded tires maine law</t>
  </si>
  <si>
    <t xml:space="preserve">Snow Tires for Gorham Drivers: When to Swap, What to Buy, What Maine Law Says</t>
  </si>
  <si>
    <t xml:space="preserve">snow-tires-gorham-maine</t>
  </si>
  <si>
    <t xml:space="preserve">/services.html#tires, /faq.html</t>
  </si>
  <si>
    <t xml:space="preserve">brake fluid flush falmouth</t>
  </si>
  <si>
    <t xml:space="preserve">brake fluid maine, DOT3 vs DOT4 maine</t>
  </si>
  <si>
    <t xml:space="preserve">Brake Fluid Flushes in Falmouth: What It Is, When You Need It, What It Costs</t>
  </si>
  <si>
    <t xml:space="preserve">brake-fluid-flush-falmouth</t>
  </si>
  <si>
    <t xml:space="preserve">/cities/falmouth.html, /services.html#brakes</t>
  </si>
  <si>
    <t xml:space="preserve">Windham</t>
  </si>
  <si>
    <t xml:space="preserve">maine inspection windham</t>
  </si>
  <si>
    <t xml:space="preserve">windham inspection sticker, inspection checklist maine</t>
  </si>
  <si>
    <t xml:space="preserve">Maine State Inspection in Windham: What They Really Check Under the Sticker</t>
  </si>
  <si>
    <t xml:space="preserve">maine-inspection-windham</t>
  </si>
  <si>
    <t xml:space="preserve">/services.html#inspection, /faq.html</t>
  </si>
  <si>
    <t xml:space="preserve">evap leak yarmouth maine</t>
  </si>
  <si>
    <t xml:space="preserve">gas cap check engine, P0442 P0455 maine</t>
  </si>
  <si>
    <t xml:space="preserve">Gas Cap or Something Worse? Decoding Evap Codes in Yarmouth</t>
  </si>
  <si>
    <t xml:space="preserve">evap-leak-yarmouth-maine</t>
  </si>
  <si>
    <t xml:space="preserve">/cities/yarmouth.html, /services.html#diagnostics</t>
  </si>
  <si>
    <t xml:space="preserve">winterize car maine</t>
  </si>
  <si>
    <t xml:space="preserve">battery test raymond, coolant flush maine</t>
  </si>
  <si>
    <t xml:space="preserve">Winterizing Your Car in Maine: Battery, Coolant, Tires, Wipers, and the One Thing People Forget</t>
  </si>
  <si>
    <t xml:space="preserve">winterize-car-maine</t>
  </si>
  <si>
    <t xml:space="preserve">/cities/raymond.html, /services.html</t>
  </si>
  <si>
    <t xml:space="preserve">brake rotors portland maine</t>
  </si>
  <si>
    <t xml:space="preserve">warped rotors portland, rotor replacement maine</t>
  </si>
  <si>
    <t xml:space="preserve">Warped Brake Rotors in Portland: Symptoms, Causes, and Whether They Can Be Machined</t>
  </si>
  <si>
    <t xml:space="preserve">brake-rotors-portland-maine</t>
  </si>
  <si>
    <t xml:space="preserve">Buxton</t>
  </si>
  <si>
    <t xml:space="preserve">tire alignment buxton maine</t>
  </si>
  <si>
    <t xml:space="preserve">four wheel alignment buxton, camber toe maine</t>
  </si>
  <si>
    <t xml:space="preserve">When to Get an Alignment in Maine: 5 Honest Signs (and 3 Things That Don't Mean You Need One)</t>
  </si>
  <si>
    <t xml:space="preserve">tire-alignment-buxton-maine</t>
  </si>
  <si>
    <t xml:space="preserve">maine inspection fail reasons</t>
  </si>
  <si>
    <t xml:space="preserve">reasons to fail maine inspection, inspection checklist maine</t>
  </si>
  <si>
    <t xml:space="preserve">Top 10 Reasons Cars Fail Maine State Inspection (and How to Fix Them Cheap)</t>
  </si>
  <si>
    <t xml:space="preserve">maine-inspection-fail-reasons</t>
  </si>
  <si>
    <t xml:space="preserve">transmission fluid change south portland</t>
  </si>
  <si>
    <t xml:space="preserve">transmission service maine, ATF change maine</t>
  </si>
  <si>
    <t xml:space="preserve">Transmission Fluid Service for South Portland Drivers: Myths, Intervals, Real Cost</t>
  </si>
  <si>
    <t xml:space="preserve">transmission-fluid-south-portland</t>
  </si>
  <si>
    <t xml:space="preserve">/cities/south-portland.html, /services.html#oil</t>
  </si>
  <si>
    <t xml:space="preserve">battery replacement maine cold</t>
  </si>
  <si>
    <t xml:space="preserve">car won't start cold maine, battery test sebago</t>
  </si>
  <si>
    <t xml:space="preserve">Your Battery Probably Won't Survive Another Maine Winter — Here's How to Know</t>
  </si>
  <si>
    <t xml:space="preserve">battery-replacement-maine-cold</t>
  </si>
  <si>
    <t xml:space="preserve">brake line repair cumberland maine</t>
  </si>
  <si>
    <t xml:space="preserve">rusted brake lines maine, brake line replacement</t>
  </si>
  <si>
    <t xml:space="preserve">Rusted Brake Lines in Cumberland: Why Maine Salt Eats Them and What a Real Fix Costs</t>
  </si>
  <si>
    <t xml:space="preserve">brake-line-repair-cumberland-maine</t>
  </si>
  <si>
    <t xml:space="preserve">/cities/cumberland.html, /services.html#brakes</t>
  </si>
  <si>
    <t xml:space="preserve">Gray</t>
  </si>
  <si>
    <t xml:space="preserve">check engine light winter maine</t>
  </si>
  <si>
    <t xml:space="preserve">cold start misfire maine, coil pack check engine</t>
  </si>
  <si>
    <t xml:space="preserve">Why the Check Engine Light Loves Cold Starts: Winter Diagnostics in Maine</t>
  </si>
  <si>
    <t xml:space="preserve">check-engine-winter-maine</t>
  </si>
  <si>
    <t xml:space="preserve">/services.html#diagnostics, /faq.html</t>
  </si>
  <si>
    <t xml:space="preserve">block heater install maine</t>
  </si>
  <si>
    <t xml:space="preserve">block heater portland, diesel winter maine</t>
  </si>
  <si>
    <t xml:space="preserve">Block Heaters in Portland: Who Needs One, How Much, and the Wiring Everyone Forgets</t>
  </si>
  <si>
    <t xml:space="preserve">block-heater-install-maine</t>
  </si>
  <si>
    <t xml:space="preserve">/cities/portland.html, /services.html</t>
  </si>
  <si>
    <t xml:space="preserve">winter tires vs all season maine</t>
  </si>
  <si>
    <t xml:space="preserve">winter tire performance maine, tire chains maine law</t>
  </si>
  <si>
    <t xml:space="preserve">Winter Tires vs All-Season in Maine: Real Stopping Distance Numbers</t>
  </si>
  <si>
    <t xml:space="preserve">winter-vs-all-season-maine</t>
  </si>
  <si>
    <t xml:space="preserve">maine inspection sticker month</t>
  </si>
  <si>
    <t xml:space="preserve">sticker expire maine, when to inspect maine</t>
  </si>
  <si>
    <t xml:space="preserve">When Does Your Maine Inspection Sticker Actually Expire? Reading the Numbers</t>
  </si>
  <si>
    <t xml:space="preserve">maine-inspection-sticker-month</t>
  </si>
  <si>
    <t xml:space="preserve">/cities/westbrook.html, /services.html#inspection</t>
  </si>
  <si>
    <t xml:space="preserve">P0420 catalytic converter maine</t>
  </si>
  <si>
    <t xml:space="preserve">catalytic converter falmouth, P0420 code maine</t>
  </si>
  <si>
    <t xml:space="preserve">P0420 in Maine: Is It Really Your Catalytic Converter? (Usually Not First)</t>
  </si>
  <si>
    <t xml:space="preserve">p0420-catalytic-converter-maine</t>
  </si>
  <si>
    <t xml:space="preserve">/cities/falmouth.html, /services.html#diagnostics</t>
  </si>
  <si>
    <t xml:space="preserve">ABS warning light yarmouth</t>
  </si>
  <si>
    <t xml:space="preserve">ABS sensor yarmouth, wheel speed sensor maine</t>
  </si>
  <si>
    <t xml:space="preserve">ABS Light On in Yarmouth: Wheel Speed Sensors, Rust, and the Real Fix</t>
  </si>
  <si>
    <t xml:space="preserve">abs-warning-light-yarmouth</t>
  </si>
  <si>
    <t xml:space="preserve">/cities/yarmouth.html, /services.html#brakes</t>
  </si>
  <si>
    <t xml:space="preserve">car battery dies cold maine</t>
  </si>
  <si>
    <t xml:space="preserve">jump starting maine, AAA alternative maine</t>
  </si>
  <si>
    <t xml:space="preserve">Dead Battery in a Maine Cold Snap: Jump, Test, or Replace?</t>
  </si>
  <si>
    <t xml:space="preserve">car-battery-dies-cold-maine</t>
  </si>
  <si>
    <t xml:space="preserve">coolant flush gorham maine</t>
  </si>
  <si>
    <t xml:space="preserve">antifreeze replacement gorham, coolant interval maine</t>
  </si>
  <si>
    <t xml:space="preserve">Coolant Flushes for Gorham Drivers: Intervals, Color Codes, and Why Mixing Matters</t>
  </si>
  <si>
    <t xml:space="preserve">coolant-flush-gorham-maine</t>
  </si>
  <si>
    <t xml:space="preserve">/services.html#oil, /faq.html</t>
  </si>
  <si>
    <t xml:space="preserve">maine inspection cape elizabeth</t>
  </si>
  <si>
    <t xml:space="preserve">cape elizabeth inspection station, cumberland inspection $18.50</t>
  </si>
  <si>
    <t xml:space="preserve">Maine State Inspection from Cape Elizabeth: Where It Makes Sense to Drive Out</t>
  </si>
  <si>
    <t xml:space="preserve">maine-inspection-cape-elizabeth</t>
  </si>
  <si>
    <t xml:space="preserve">/cities/cape-elizabeth.html, /services.html#inspection</t>
  </si>
  <si>
    <t xml:space="preserve">brake caliper stuck freeport</t>
  </si>
  <si>
    <t xml:space="preserve">stuck caliper maine, brake drag symptoms</t>
  </si>
  <si>
    <t xml:space="preserve">Stuck Brake Caliper in Freeport: Symptoms, Causes, and When It's Safe to Keep Driving</t>
  </si>
  <si>
    <t xml:space="preserve">brake-caliper-stuck-freeport</t>
  </si>
  <si>
    <t xml:space="preserve">/cities/freeport.html, /services.html#brakes</t>
  </si>
  <si>
    <t xml:space="preserve">misfire diagnosis cumberland maine</t>
  </si>
  <si>
    <t xml:space="preserve">P0301 cumberland, coil pack plug maine</t>
  </si>
  <si>
    <t xml:space="preserve">Engine Misfire in Cumberland: Coil, Plug, or Something Worse?</t>
  </si>
  <si>
    <t xml:space="preserve">misfire-diagnosis-cumberland-maine</t>
  </si>
  <si>
    <t xml:space="preserve">/cities/cumberland.html, /services.html#diagnostics</t>
  </si>
  <si>
    <t xml:space="preserve">frozen door lock fix maine</t>
  </si>
  <si>
    <t xml:space="preserve">frozen car maine, winter stuck door maine</t>
  </si>
  <si>
    <t xml:space="preserve">Frozen Doors, Stuck Trunks, and Iced-Over Wipers: The Maine Winter Field Guide</t>
  </si>
  <si>
    <t xml:space="preserve">frozen-car-maine-fix</t>
  </si>
  <si>
    <t xml:space="preserve">/cities/raymond.html, /faq.html</t>
  </si>
  <si>
    <t xml:space="preserve">pothole damage portland</t>
  </si>
  <si>
    <t xml:space="preserve">bent rim portland, pothole suspension maine</t>
  </si>
  <si>
    <t xml:space="preserve">Pothole Damage in Portland: Rims, Alignment, Struts — What to Check After a Bad Hit</t>
  </si>
  <si>
    <t xml:space="preserve">pothole-damage-portland</t>
  </si>
  <si>
    <t xml:space="preserve">/cities/portland.html, /services.html#tires</t>
  </si>
  <si>
    <t xml:space="preserve">pre-inspection checklist maine</t>
  </si>
  <si>
    <t xml:space="preserve">pass maine inspection, DIY inspection check</t>
  </si>
  <si>
    <t xml:space="preserve">The 15-Minute Pre-Inspection Checklist Every Maine Driver Should Run</t>
  </si>
  <si>
    <t xml:space="preserve">pre-inspection-checklist-maine</t>
  </si>
  <si>
    <t xml:space="preserve">brake squeal vs grinding maine</t>
  </si>
  <si>
    <t xml:space="preserve">brake noise westbrook, brake grinding repair</t>
  </si>
  <si>
    <t xml:space="preserve">Brake Squeal vs Brake Grinding: What Your Maine Commute Is Trying to Tell You</t>
  </si>
  <si>
    <t xml:space="preserve">brake-squeal-vs-grinding-maine</t>
  </si>
  <si>
    <t xml:space="preserve">oil change interval maine</t>
  </si>
  <si>
    <t xml:space="preserve">3000 vs 5000 vs 10000 oil change, oil life monitor maine</t>
  </si>
  <si>
    <t xml:space="preserve">How Often Should You Really Change Your Oil in Maine? (Spoiler: Not 3,000)</t>
  </si>
  <si>
    <t xml:space="preserve">oil-change-interval-maine</t>
  </si>
  <si>
    <t xml:space="preserve">spring tire swap maine</t>
  </si>
  <si>
    <t xml:space="preserve">all season changeover maine, winter tire storage</t>
  </si>
  <si>
    <t xml:space="preserve">Spring Tire Swap in Maine: When to Pull the Winters and How to Store Them</t>
  </si>
  <si>
    <t xml:space="preserve">spring-tire-swap-maine</t>
  </si>
  <si>
    <t xml:space="preserve">car hesitates accelerating south portland</t>
  </si>
  <si>
    <t xml:space="preserve">hesitation south portland, throttle body maine</t>
  </si>
  <si>
    <t xml:space="preserve">Car Hesitates When You Accelerate in South Portland? Start Here</t>
  </si>
  <si>
    <t xml:space="preserve">hesitation-south-portland</t>
  </si>
  <si>
    <t xml:space="preserve">/cities/south-portland.html, /services.html#diagnostics</t>
  </si>
  <si>
    <t xml:space="preserve">maine inspection rust fail</t>
  </si>
  <si>
    <t xml:space="preserve">rust inspection fail maine, frame rust maine</t>
  </si>
  <si>
    <t xml:space="preserve">Rust and Maine Inspection: What Fails, What Doesn't, and What to Do About It</t>
  </si>
  <si>
    <t xml:space="preserve">maine-inspection-rust-fail</t>
  </si>
  <si>
    <t xml:space="preserve">/cities/yarmouth.html, /services.html#inspection</t>
  </si>
  <si>
    <t xml:space="preserve">emergency brake stuck maine</t>
  </si>
  <si>
    <t xml:space="preserve">parking brake frozen maine, ebrake cable scarborough</t>
  </si>
  <si>
    <t xml:space="preserve">Stuck Parking Brake in Maine: How to Release It and When to Replace the Cable</t>
  </si>
  <si>
    <t xml:space="preserve">emergency-brake-stuck-maine</t>
  </si>
  <si>
    <t xml:space="preserve">/cities/scarborough.html, /services.html#brakes</t>
  </si>
  <si>
    <t xml:space="preserve">Posts by Pillar</t>
  </si>
  <si>
    <t xml:space="preserve">Count</t>
  </si>
  <si>
    <t xml:space="preserve">TOTAL</t>
  </si>
  <si>
    <t xml:space="preserve">Posts by Target Town</t>
  </si>
  <si>
    <t xml:space="preserve">Town</t>
  </si>
  <si>
    <t xml:space="preserve">Posts by Intent</t>
  </si>
  <si>
    <t xml:space="preserve">Intent</t>
  </si>
  <si>
    <t xml:space="preserve">Transactional</t>
  </si>
  <si>
    <t xml:space="preserve">Posts by Priority</t>
  </si>
  <si>
    <t xml:space="preserve">Completion</t>
  </si>
  <si>
    <t xml:space="preserve">Published</t>
  </si>
  <si>
    <t xml:space="preserve">Drafted</t>
  </si>
  <si>
    <t xml:space="preserve">% Complete</t>
  </si>
  <si>
    <t xml:space="preserve">Content Playbook — How to use this calendar</t>
  </si>
  <si>
    <t xml:space="preserve">Rule</t>
  </si>
  <si>
    <t xml:space="preserve">Detail</t>
  </si>
  <si>
    <t xml:space="preserve">Cadence</t>
  </si>
  <si>
    <t xml:space="preserve">One post per week. Batch-draft 4 at a time, publish Monday.</t>
  </si>
  <si>
    <t xml:space="preserve">Word count target</t>
  </si>
  <si>
    <t xml:space="preserve">1,000-1,400 words per post. Long enough to rank, short enough to actually finish.</t>
  </si>
  <si>
    <t xml:space="preserve">Title rule</t>
  </si>
  <si>
    <t xml:space="preserve">Always include the primary town and/or primary service keyword near the front.</t>
  </si>
  <si>
    <t xml:space="preserve">URL rule</t>
  </si>
  <si>
    <t xml:space="preserve">/blog/&lt;slug&gt;/ — lowercase, hyphens, no stop words, no dates.</t>
  </si>
  <si>
    <t xml:space="preserve">Meta description rule</t>
  </si>
  <si>
    <t xml:space="preserve">150-160 characters. Include phone number on commercial posts.</t>
  </si>
  <si>
    <t xml:space="preserve">H1 rule</t>
  </si>
  <si>
    <t xml:space="preserve">One H1 per page, matching intent of the primary keyword.</t>
  </si>
  <si>
    <t xml:space="preserve">Internal links</t>
  </si>
  <si>
    <t xml:space="preserve">Minimum 2 internal links per post — one to the matching city page, one to the relevant service anchor.</t>
  </si>
  <si>
    <t xml:space="preserve">Schema rule</t>
  </si>
  <si>
    <t xml:space="preserve">Every post gets BlogPosting + BreadcrumbList JSON-LD. FAQ posts add FAQPage.</t>
  </si>
  <si>
    <t xml:space="preserve">Image rule</t>
  </si>
  <si>
    <t xml:space="preserve">One hero image minimum. Filename + alt text include primary keyword.</t>
  </si>
  <si>
    <t xml:space="preserve">CTA rule</t>
  </si>
  <si>
    <t xml:space="preserve">Phone number + contact-form link in the closing paragraph. Commercial posts get a mid-article CTA too.</t>
  </si>
  <si>
    <t xml:space="preserve">Publish workflow</t>
  </si>
  <si>
    <t xml:space="preserve">Draft in Google Docs → review with checklist (Playbook cols) → publish as static HTML → submit URL in GSC → add to internal links on 1 hub page.</t>
  </si>
  <si>
    <t xml:space="preserve">Review cadence</t>
  </si>
  <si>
    <t xml:space="preserve">Week 13, 26, 39, 52: check GSC impressions/clicks, refresh any post with &gt;100 impressions and &lt;3% CTR.</t>
  </si>
  <si>
    <t xml:space="preserve">Priority meaning</t>
  </si>
  <si>
    <t xml:space="preserve">P0 = publish no matter what, highest revenue intent. P1 = publish on schedule, supports pillar. P2 = optional, stretch or backfill.</t>
  </si>
  <si>
    <t xml:space="preserve">Intent meaning</t>
  </si>
  <si>
    <t xml:space="preserve">Commercial = ready-to-buy town+service queries. Informational = problem-aware, top-of-funnel. Transactional = direct appointment intent.</t>
  </si>
  <si>
    <t xml:space="preserve">Per-Post Publishing Checklist</t>
  </si>
  <si>
    <t xml:space="preserve">#</t>
  </si>
  <si>
    <t xml:space="preserve">Check</t>
  </si>
  <si>
    <t xml:space="preserve">Done?</t>
  </si>
  <si>
    <t xml:space="preserve">Title tag ≤ 60 characters and contains primary keyword</t>
  </si>
  <si>
    <t xml:space="preserve">☐</t>
  </si>
  <si>
    <t xml:space="preserve">Meta description 150-160 characters and contains primary keyword</t>
  </si>
  <si>
    <t xml:space="preserve">One H1, matches search intent</t>
  </si>
  <si>
    <t xml:space="preserve">2-3 H2s, one H2 contains the primary keyword</t>
  </si>
  <si>
    <t xml:space="preserve">URL slug is lowercase, hyphenated, no stop words</t>
  </si>
  <si>
    <t xml:space="preserve">Target word count hit (1,000-1,400)</t>
  </si>
  <si>
    <t xml:space="preserve">≥ 2 internal links (1 city page, 1 service anchor)</t>
  </si>
  <si>
    <t xml:space="preserve">≥ 1 external link to authoritative source (Maine BMV, manufacturer docs, etc.)</t>
  </si>
  <si>
    <t xml:space="preserve">Primary keyword used in first 100 words</t>
  </si>
  <si>
    <t xml:space="preserve">Primary keyword used in one H2</t>
  </si>
  <si>
    <t xml:space="preserve">Hero image present with descriptive alt text</t>
  </si>
  <si>
    <t xml:space="preserve">At least one in-article CTA (phone + contact link)</t>
  </si>
  <si>
    <t xml:space="preserve">BlogPosting JSON-LD added</t>
  </si>
  <si>
    <t xml:space="preserve">BreadcrumbList JSON-LD added</t>
  </si>
  <si>
    <t xml:space="preserve">FAQPage JSON-LD added (if article has Q&amp;A section)</t>
  </si>
  <si>
    <t xml:space="preserve">Internal link from 1 hub page pointing to this new post</t>
  </si>
  <si>
    <t xml:space="preserve">URL submitted in Google Search Console</t>
  </si>
  <si>
    <t xml:space="preserve">Status updated in calendar to 'Published'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</si>
</sst>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B2545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0B254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EEF1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B2545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F5132"/>
          <bgColor rgb="FF000000"/>
        </patternFill>
      </fill>
    </dxf>
    <dxf>
      <fill>
        <patternFill patternType="solid">
          <fgColor rgb="FF664D03"/>
          <bgColor rgb="FF000000"/>
        </patternFill>
      </fill>
    </dxf>
    <dxf>
      <fill>
        <patternFill patternType="solid">
          <fgColor rgb="FF842029"/>
          <bgColor rgb="FF000000"/>
        </patternFill>
      </fill>
    </dxf>
    <dxf>
      <font>
        <name val="Arial"/>
        <charset val="1"/>
        <family val="0"/>
        <b val="1"/>
        <color rgb="FF842029"/>
        <sz val="10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664D03"/>
        <sz val="10"/>
      </font>
      <fill>
        <patternFill>
          <bgColor rgb="FFFFF3CD"/>
        </patternFill>
      </fill>
    </dxf>
    <dxf>
      <font>
        <name val="Arial"/>
        <charset val="1"/>
        <family val="0"/>
        <color rgb="FF0F5132"/>
        <sz val="10"/>
      </font>
      <fill>
        <patternFill>
          <bgColor rgb="FFD1E7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EF1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F5132"/>
      <rgbColor rgb="FF664D03"/>
      <rgbColor rgb="FF8420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entCalendar" displayName="ContentCalendar" ref="A1:M49" headerRowCount="1" totalsRowCount="0" totalsRowShown="0">
  <autoFilter ref="A1:M49"/>
  <tableColumns count="13">
    <tableColumn id="1" name="Week #"/>
    <tableColumn id="2" name="Publish Date"/>
    <tableColumn id="3" name="Pillar"/>
    <tableColumn id="4" name="Target Town"/>
    <tableColumn id="5" name="Primary Keyword"/>
    <tableColumn id="6" name="Secondary Keywords"/>
    <tableColumn id="7" name="Search Intent"/>
    <tableColumn id="8" name="Title"/>
    <tableColumn id="9" name="URL Slug"/>
    <tableColumn id="10" name="Internal Link Targets"/>
    <tableColumn id="11" name="Priority"/>
    <tableColumn id="12" name="Status"/>
    <tableColumn id="1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70"/>
    <col collapsed="false" customWidth="true" hidden="false" outlineLevel="0" max="9" min="9" style="0" width="36"/>
    <col collapsed="false" customWidth="true" hidden="false" outlineLevel="0" max="10" min="10" style="0" width="4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2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n">
        <v>1</v>
      </c>
      <c r="B2" s="3" t="n">
        <v>46146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/>
    </row>
    <row r="3" customFormat="false" ht="23.85" hidden="false" customHeight="false" outlineLevel="0" collapsed="false">
      <c r="A3" s="4" t="n">
        <v>2</v>
      </c>
      <c r="B3" s="5" t="n">
        <v>46153</v>
      </c>
      <c r="C3" s="4" t="s">
        <v>23</v>
      </c>
      <c r="D3" s="4" t="s">
        <v>14</v>
      </c>
      <c r="E3" s="4" t="s">
        <v>24</v>
      </c>
      <c r="F3" s="4" t="s">
        <v>25</v>
      </c>
      <c r="G3" s="4" t="s">
        <v>17</v>
      </c>
      <c r="H3" s="4" t="s">
        <v>26</v>
      </c>
      <c r="I3" s="4" t="s">
        <v>27</v>
      </c>
      <c r="J3" s="4" t="s">
        <v>28</v>
      </c>
      <c r="K3" s="4" t="s">
        <v>21</v>
      </c>
      <c r="L3" s="4" t="s">
        <v>22</v>
      </c>
      <c r="M3" s="4"/>
    </row>
    <row r="4" customFormat="false" ht="23.85" hidden="false" customHeight="false" outlineLevel="0" collapsed="false">
      <c r="A4" s="2" t="n">
        <v>3</v>
      </c>
      <c r="B4" s="3" t="n">
        <v>46160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22</v>
      </c>
      <c r="M4" s="2"/>
    </row>
    <row r="5" customFormat="false" ht="23.85" hidden="false" customHeight="false" outlineLevel="0" collapsed="false">
      <c r="A5" s="4" t="n">
        <v>4</v>
      </c>
      <c r="B5" s="5" t="n">
        <v>46167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33</v>
      </c>
      <c r="H5" s="4" t="s">
        <v>42</v>
      </c>
      <c r="I5" s="4" t="s">
        <v>43</v>
      </c>
      <c r="J5" s="4" t="s">
        <v>44</v>
      </c>
      <c r="K5" s="4" t="s">
        <v>37</v>
      </c>
      <c r="L5" s="4" t="s">
        <v>22</v>
      </c>
      <c r="M5" s="4"/>
    </row>
    <row r="6" customFormat="false" ht="23.85" hidden="false" customHeight="false" outlineLevel="0" collapsed="false">
      <c r="A6" s="2" t="n">
        <v>5</v>
      </c>
      <c r="B6" s="3" t="n">
        <v>46174</v>
      </c>
      <c r="C6" s="2" t="s">
        <v>13</v>
      </c>
      <c r="D6" s="2" t="s">
        <v>45</v>
      </c>
      <c r="E6" s="2" t="s">
        <v>46</v>
      </c>
      <c r="F6" s="2" t="s">
        <v>47</v>
      </c>
      <c r="G6" s="2" t="s">
        <v>17</v>
      </c>
      <c r="H6" s="2" t="s">
        <v>48</v>
      </c>
      <c r="I6" s="2" t="s">
        <v>49</v>
      </c>
      <c r="J6" s="2" t="s">
        <v>50</v>
      </c>
      <c r="K6" s="2" t="s">
        <v>21</v>
      </c>
      <c r="L6" s="2" t="s">
        <v>22</v>
      </c>
      <c r="M6" s="2"/>
    </row>
    <row r="7" customFormat="false" ht="23.85" hidden="false" customHeight="false" outlineLevel="0" collapsed="false">
      <c r="A7" s="4" t="n">
        <v>6</v>
      </c>
      <c r="B7" s="5" t="n">
        <v>46181</v>
      </c>
      <c r="C7" s="4" t="s">
        <v>23</v>
      </c>
      <c r="D7" s="4" t="s">
        <v>51</v>
      </c>
      <c r="E7" s="4" t="s">
        <v>52</v>
      </c>
      <c r="F7" s="4" t="s">
        <v>53</v>
      </c>
      <c r="G7" s="4" t="s">
        <v>17</v>
      </c>
      <c r="H7" s="4" t="s">
        <v>54</v>
      </c>
      <c r="I7" s="4" t="s">
        <v>55</v>
      </c>
      <c r="J7" s="4" t="s">
        <v>56</v>
      </c>
      <c r="K7" s="4" t="s">
        <v>21</v>
      </c>
      <c r="L7" s="4" t="s">
        <v>22</v>
      </c>
      <c r="M7" s="4"/>
    </row>
    <row r="8" customFormat="false" ht="15" hidden="false" customHeight="false" outlineLevel="0" collapsed="false">
      <c r="A8" s="2" t="n">
        <v>7</v>
      </c>
      <c r="B8" s="3" t="n">
        <v>46188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17</v>
      </c>
      <c r="H8" s="2" t="s">
        <v>61</v>
      </c>
      <c r="I8" s="2" t="s">
        <v>62</v>
      </c>
      <c r="J8" s="2" t="s">
        <v>63</v>
      </c>
      <c r="K8" s="2" t="s">
        <v>37</v>
      </c>
      <c r="L8" s="2" t="s">
        <v>22</v>
      </c>
      <c r="M8" s="2"/>
    </row>
    <row r="9" customFormat="false" ht="23.85" hidden="false" customHeight="false" outlineLevel="0" collapsed="false">
      <c r="A9" s="4" t="n">
        <v>8</v>
      </c>
      <c r="B9" s="5" t="n">
        <v>46195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17</v>
      </c>
      <c r="H9" s="4" t="s">
        <v>68</v>
      </c>
      <c r="I9" s="4" t="s">
        <v>69</v>
      </c>
      <c r="J9" s="4" t="s">
        <v>70</v>
      </c>
      <c r="K9" s="4" t="s">
        <v>37</v>
      </c>
      <c r="L9" s="4" t="s">
        <v>22</v>
      </c>
      <c r="M9" s="4"/>
    </row>
    <row r="10" customFormat="false" ht="15" hidden="false" customHeight="false" outlineLevel="0" collapsed="false">
      <c r="A10" s="2" t="n">
        <v>9</v>
      </c>
      <c r="B10" s="3" t="n">
        <v>46202</v>
      </c>
      <c r="C10" s="2" t="s">
        <v>38</v>
      </c>
      <c r="D10" s="2" t="s">
        <v>71</v>
      </c>
      <c r="E10" s="2" t="s">
        <v>72</v>
      </c>
      <c r="F10" s="2" t="s">
        <v>73</v>
      </c>
      <c r="G10" s="2" t="s">
        <v>33</v>
      </c>
      <c r="H10" s="2" t="s">
        <v>74</v>
      </c>
      <c r="I10" s="2" t="s">
        <v>75</v>
      </c>
      <c r="J10" s="2" t="s">
        <v>76</v>
      </c>
      <c r="K10" s="2" t="s">
        <v>37</v>
      </c>
      <c r="L10" s="2" t="s">
        <v>22</v>
      </c>
      <c r="M10" s="2"/>
    </row>
    <row r="11" customFormat="false" ht="15" hidden="false" customHeight="false" outlineLevel="0" collapsed="false">
      <c r="A11" s="4" t="n">
        <v>10</v>
      </c>
      <c r="B11" s="5" t="n">
        <v>46209</v>
      </c>
      <c r="C11" s="4" t="s">
        <v>29</v>
      </c>
      <c r="D11" s="4" t="s">
        <v>14</v>
      </c>
      <c r="E11" s="4" t="s">
        <v>77</v>
      </c>
      <c r="F11" s="4" t="s">
        <v>78</v>
      </c>
      <c r="G11" s="4" t="s">
        <v>33</v>
      </c>
      <c r="H11" s="4" t="s">
        <v>79</v>
      </c>
      <c r="I11" s="4" t="s">
        <v>80</v>
      </c>
      <c r="J11" s="4" t="s">
        <v>81</v>
      </c>
      <c r="K11" s="4" t="s">
        <v>21</v>
      </c>
      <c r="L11" s="4" t="s">
        <v>22</v>
      </c>
      <c r="M11" s="4"/>
    </row>
    <row r="12" customFormat="false" ht="23.85" hidden="false" customHeight="false" outlineLevel="0" collapsed="false">
      <c r="A12" s="2" t="n">
        <v>11</v>
      </c>
      <c r="B12" s="3" t="n">
        <v>46216</v>
      </c>
      <c r="C12" s="2" t="s">
        <v>23</v>
      </c>
      <c r="D12" s="2" t="s">
        <v>82</v>
      </c>
      <c r="E12" s="2" t="s">
        <v>83</v>
      </c>
      <c r="F12" s="2" t="s">
        <v>84</v>
      </c>
      <c r="G12" s="2" t="s">
        <v>17</v>
      </c>
      <c r="H12" s="2" t="s">
        <v>85</v>
      </c>
      <c r="I12" s="2" t="s">
        <v>86</v>
      </c>
      <c r="J12" s="2" t="s">
        <v>87</v>
      </c>
      <c r="K12" s="2" t="s">
        <v>37</v>
      </c>
      <c r="L12" s="2" t="s">
        <v>22</v>
      </c>
      <c r="M12" s="2"/>
    </row>
    <row r="13" customFormat="false" ht="23.85" hidden="false" customHeight="false" outlineLevel="0" collapsed="false">
      <c r="A13" s="4" t="n">
        <v>12</v>
      </c>
      <c r="B13" s="5" t="n">
        <v>46223</v>
      </c>
      <c r="C13" s="4" t="s">
        <v>13</v>
      </c>
      <c r="D13" s="4" t="s">
        <v>88</v>
      </c>
      <c r="E13" s="4" t="s">
        <v>89</v>
      </c>
      <c r="F13" s="4" t="s">
        <v>90</v>
      </c>
      <c r="G13" s="4" t="s">
        <v>17</v>
      </c>
      <c r="H13" s="4" t="s">
        <v>91</v>
      </c>
      <c r="I13" s="4" t="s">
        <v>92</v>
      </c>
      <c r="J13" s="4" t="s">
        <v>93</v>
      </c>
      <c r="K13" s="4" t="s">
        <v>37</v>
      </c>
      <c r="L13" s="4" t="s">
        <v>22</v>
      </c>
      <c r="M13" s="4"/>
    </row>
    <row r="14" customFormat="false" ht="23.85" hidden="false" customHeight="false" outlineLevel="0" collapsed="false">
      <c r="A14" s="2" t="n">
        <v>13</v>
      </c>
      <c r="B14" s="3" t="n">
        <v>46230</v>
      </c>
      <c r="C14" s="2" t="s">
        <v>57</v>
      </c>
      <c r="D14" s="2" t="s">
        <v>30</v>
      </c>
      <c r="E14" s="2" t="s">
        <v>94</v>
      </c>
      <c r="F14" s="2" t="s">
        <v>95</v>
      </c>
      <c r="G14" s="2" t="s">
        <v>17</v>
      </c>
      <c r="H14" s="2" t="s">
        <v>96</v>
      </c>
      <c r="I14" s="2" t="s">
        <v>97</v>
      </c>
      <c r="J14" s="2" t="s">
        <v>98</v>
      </c>
      <c r="K14" s="2" t="s">
        <v>37</v>
      </c>
      <c r="L14" s="2" t="s">
        <v>22</v>
      </c>
      <c r="M14" s="2"/>
    </row>
    <row r="15" customFormat="false" ht="23.85" hidden="false" customHeight="false" outlineLevel="0" collapsed="false">
      <c r="A15" s="4" t="n">
        <v>14</v>
      </c>
      <c r="B15" s="5" t="n">
        <v>46237</v>
      </c>
      <c r="C15" s="4" t="s">
        <v>29</v>
      </c>
      <c r="D15" s="4" t="s">
        <v>51</v>
      </c>
      <c r="E15" s="4" t="s">
        <v>99</v>
      </c>
      <c r="F15" s="4" t="s">
        <v>100</v>
      </c>
      <c r="G15" s="4" t="s">
        <v>33</v>
      </c>
      <c r="H15" s="4" t="s">
        <v>101</v>
      </c>
      <c r="I15" s="4" t="s">
        <v>102</v>
      </c>
      <c r="J15" s="4" t="s">
        <v>103</v>
      </c>
      <c r="K15" s="4" t="s">
        <v>37</v>
      </c>
      <c r="L15" s="4" t="s">
        <v>22</v>
      </c>
      <c r="M15" s="4"/>
    </row>
    <row r="16" customFormat="false" ht="23.85" hidden="false" customHeight="false" outlineLevel="0" collapsed="false">
      <c r="A16" s="2" t="n">
        <v>15</v>
      </c>
      <c r="B16" s="3" t="n">
        <v>46244</v>
      </c>
      <c r="C16" s="2" t="s">
        <v>23</v>
      </c>
      <c r="D16" s="2" t="s">
        <v>45</v>
      </c>
      <c r="E16" s="2" t="s">
        <v>104</v>
      </c>
      <c r="F16" s="2" t="s">
        <v>105</v>
      </c>
      <c r="G16" s="2" t="s">
        <v>17</v>
      </c>
      <c r="H16" s="2" t="s">
        <v>106</v>
      </c>
      <c r="I16" s="2" t="s">
        <v>107</v>
      </c>
      <c r="J16" s="2" t="s">
        <v>108</v>
      </c>
      <c r="K16" s="2" t="s">
        <v>21</v>
      </c>
      <c r="L16" s="2" t="s">
        <v>22</v>
      </c>
      <c r="M16" s="2"/>
    </row>
    <row r="17" customFormat="false" ht="23.85" hidden="false" customHeight="false" outlineLevel="0" collapsed="false">
      <c r="A17" s="4" t="n">
        <v>16</v>
      </c>
      <c r="B17" s="5" t="n">
        <v>46251</v>
      </c>
      <c r="C17" s="4" t="s">
        <v>64</v>
      </c>
      <c r="D17" s="4" t="s">
        <v>109</v>
      </c>
      <c r="E17" s="4" t="s">
        <v>110</v>
      </c>
      <c r="F17" s="4" t="s">
        <v>111</v>
      </c>
      <c r="G17" s="4" t="s">
        <v>17</v>
      </c>
      <c r="H17" s="4" t="s">
        <v>112</v>
      </c>
      <c r="I17" s="4" t="s">
        <v>113</v>
      </c>
      <c r="J17" s="4" t="s">
        <v>114</v>
      </c>
      <c r="K17" s="4" t="s">
        <v>115</v>
      </c>
      <c r="L17" s="4" t="s">
        <v>22</v>
      </c>
      <c r="M17" s="4"/>
    </row>
    <row r="18" customFormat="false" ht="15" hidden="false" customHeight="false" outlineLevel="0" collapsed="false">
      <c r="A18" s="2" t="n">
        <v>17</v>
      </c>
      <c r="B18" s="3" t="n">
        <v>46258</v>
      </c>
      <c r="C18" s="2" t="s">
        <v>38</v>
      </c>
      <c r="D18" s="2" t="s">
        <v>116</v>
      </c>
      <c r="E18" s="2" t="s">
        <v>117</v>
      </c>
      <c r="F18" s="2" t="s">
        <v>118</v>
      </c>
      <c r="G18" s="2" t="s">
        <v>33</v>
      </c>
      <c r="H18" s="2" t="s">
        <v>119</v>
      </c>
      <c r="I18" s="2" t="s">
        <v>120</v>
      </c>
      <c r="J18" s="2" t="s">
        <v>44</v>
      </c>
      <c r="K18" s="2" t="s">
        <v>21</v>
      </c>
      <c r="L18" s="2" t="s">
        <v>22</v>
      </c>
      <c r="M18" s="2"/>
    </row>
    <row r="19" customFormat="false" ht="15" hidden="false" customHeight="false" outlineLevel="0" collapsed="false">
      <c r="A19" s="4" t="n">
        <v>18</v>
      </c>
      <c r="B19" s="5" t="n">
        <v>46265</v>
      </c>
      <c r="C19" s="4" t="s">
        <v>57</v>
      </c>
      <c r="D19" s="4" t="s">
        <v>121</v>
      </c>
      <c r="E19" s="4" t="s">
        <v>122</v>
      </c>
      <c r="F19" s="4" t="s">
        <v>123</v>
      </c>
      <c r="G19" s="4" t="s">
        <v>17</v>
      </c>
      <c r="H19" s="4" t="s">
        <v>124</v>
      </c>
      <c r="I19" s="4" t="s">
        <v>125</v>
      </c>
      <c r="J19" s="4" t="s">
        <v>126</v>
      </c>
      <c r="K19" s="4" t="s">
        <v>37</v>
      </c>
      <c r="L19" s="4" t="s">
        <v>22</v>
      </c>
      <c r="M19" s="4"/>
    </row>
    <row r="20" customFormat="false" ht="15" hidden="false" customHeight="false" outlineLevel="0" collapsed="false">
      <c r="A20" s="2" t="n">
        <v>19</v>
      </c>
      <c r="B20" s="3" t="n">
        <v>46272</v>
      </c>
      <c r="C20" s="2" t="s">
        <v>23</v>
      </c>
      <c r="D20" s="2" t="s">
        <v>65</v>
      </c>
      <c r="E20" s="2" t="s">
        <v>127</v>
      </c>
      <c r="F20" s="2" t="s">
        <v>128</v>
      </c>
      <c r="G20" s="2" t="s">
        <v>33</v>
      </c>
      <c r="H20" s="2" t="s">
        <v>129</v>
      </c>
      <c r="I20" s="2" t="s">
        <v>130</v>
      </c>
      <c r="J20" s="2" t="s">
        <v>131</v>
      </c>
      <c r="K20" s="2" t="s">
        <v>115</v>
      </c>
      <c r="L20" s="2" t="s">
        <v>22</v>
      </c>
      <c r="M20" s="2"/>
    </row>
    <row r="21" customFormat="false" ht="23.85" hidden="false" customHeight="false" outlineLevel="0" collapsed="false">
      <c r="A21" s="4" t="n">
        <v>20</v>
      </c>
      <c r="B21" s="5" t="n">
        <v>46279</v>
      </c>
      <c r="C21" s="4" t="s">
        <v>13</v>
      </c>
      <c r="D21" s="4" t="s">
        <v>132</v>
      </c>
      <c r="E21" s="4" t="s">
        <v>133</v>
      </c>
      <c r="F21" s="4" t="s">
        <v>134</v>
      </c>
      <c r="G21" s="4" t="s">
        <v>17</v>
      </c>
      <c r="H21" s="4" t="s">
        <v>135</v>
      </c>
      <c r="I21" s="4" t="s">
        <v>136</v>
      </c>
      <c r="J21" s="4" t="s">
        <v>137</v>
      </c>
      <c r="K21" s="4" t="s">
        <v>37</v>
      </c>
      <c r="L21" s="4" t="s">
        <v>22</v>
      </c>
      <c r="M21" s="4"/>
    </row>
    <row r="22" customFormat="false" ht="15" hidden="false" customHeight="false" outlineLevel="0" collapsed="false">
      <c r="A22" s="2" t="n">
        <v>21</v>
      </c>
      <c r="B22" s="3" t="n">
        <v>46286</v>
      </c>
      <c r="C22" s="2" t="s">
        <v>29</v>
      </c>
      <c r="D22" s="2" t="s">
        <v>58</v>
      </c>
      <c r="E22" s="2" t="s">
        <v>138</v>
      </c>
      <c r="F22" s="2" t="s">
        <v>139</v>
      </c>
      <c r="G22" s="2" t="s">
        <v>33</v>
      </c>
      <c r="H22" s="2" t="s">
        <v>140</v>
      </c>
      <c r="I22" s="2" t="s">
        <v>141</v>
      </c>
      <c r="J22" s="2" t="s">
        <v>142</v>
      </c>
      <c r="K22" s="2" t="s">
        <v>115</v>
      </c>
      <c r="L22" s="2" t="s">
        <v>22</v>
      </c>
      <c r="M22" s="2"/>
    </row>
    <row r="23" customFormat="false" ht="23.85" hidden="false" customHeight="false" outlineLevel="0" collapsed="false">
      <c r="A23" s="4" t="n">
        <v>22</v>
      </c>
      <c r="B23" s="5" t="n">
        <v>46293</v>
      </c>
      <c r="C23" s="4" t="s">
        <v>38</v>
      </c>
      <c r="D23" s="4" t="s">
        <v>71</v>
      </c>
      <c r="E23" s="4" t="s">
        <v>143</v>
      </c>
      <c r="F23" s="4" t="s">
        <v>144</v>
      </c>
      <c r="G23" s="4" t="s">
        <v>33</v>
      </c>
      <c r="H23" s="4" t="s">
        <v>145</v>
      </c>
      <c r="I23" s="4" t="s">
        <v>146</v>
      </c>
      <c r="J23" s="4" t="s">
        <v>147</v>
      </c>
      <c r="K23" s="4" t="s">
        <v>21</v>
      </c>
      <c r="L23" s="4" t="s">
        <v>22</v>
      </c>
      <c r="M23" s="4"/>
    </row>
    <row r="24" customFormat="false" ht="23.85" hidden="false" customHeight="false" outlineLevel="0" collapsed="false">
      <c r="A24" s="2" t="n">
        <v>23</v>
      </c>
      <c r="B24" s="3" t="n">
        <v>46300</v>
      </c>
      <c r="C24" s="2" t="s">
        <v>23</v>
      </c>
      <c r="D24" s="2" t="s">
        <v>14</v>
      </c>
      <c r="E24" s="2" t="s">
        <v>148</v>
      </c>
      <c r="F24" s="2" t="s">
        <v>149</v>
      </c>
      <c r="G24" s="2" t="s">
        <v>17</v>
      </c>
      <c r="H24" s="2" t="s">
        <v>150</v>
      </c>
      <c r="I24" s="2" t="s">
        <v>151</v>
      </c>
      <c r="J24" s="2" t="s">
        <v>28</v>
      </c>
      <c r="K24" s="2" t="s">
        <v>37</v>
      </c>
      <c r="L24" s="2" t="s">
        <v>22</v>
      </c>
      <c r="M24" s="2"/>
    </row>
    <row r="25" customFormat="false" ht="23.85" hidden="false" customHeight="false" outlineLevel="0" collapsed="false">
      <c r="A25" s="4" t="n">
        <v>24</v>
      </c>
      <c r="B25" s="5" t="n">
        <v>46307</v>
      </c>
      <c r="C25" s="4" t="s">
        <v>57</v>
      </c>
      <c r="D25" s="4" t="s">
        <v>152</v>
      </c>
      <c r="E25" s="4" t="s">
        <v>153</v>
      </c>
      <c r="F25" s="4" t="s">
        <v>154</v>
      </c>
      <c r="G25" s="4" t="s">
        <v>33</v>
      </c>
      <c r="H25" s="4" t="s">
        <v>155</v>
      </c>
      <c r="I25" s="4" t="s">
        <v>156</v>
      </c>
      <c r="J25" s="4" t="s">
        <v>126</v>
      </c>
      <c r="K25" s="4" t="s">
        <v>115</v>
      </c>
      <c r="L25" s="4" t="s">
        <v>22</v>
      </c>
      <c r="M25" s="4"/>
    </row>
    <row r="26" customFormat="false" ht="23.85" hidden="false" customHeight="false" outlineLevel="0" collapsed="false">
      <c r="A26" s="2" t="n">
        <v>25</v>
      </c>
      <c r="B26" s="3" t="n">
        <v>46314</v>
      </c>
      <c r="C26" s="2" t="s">
        <v>13</v>
      </c>
      <c r="D26" s="2" t="s">
        <v>116</v>
      </c>
      <c r="E26" s="2" t="s">
        <v>157</v>
      </c>
      <c r="F26" s="2" t="s">
        <v>158</v>
      </c>
      <c r="G26" s="2" t="s">
        <v>33</v>
      </c>
      <c r="H26" s="2" t="s">
        <v>159</v>
      </c>
      <c r="I26" s="2" t="s">
        <v>160</v>
      </c>
      <c r="J26" s="2" t="s">
        <v>137</v>
      </c>
      <c r="K26" s="2" t="s">
        <v>21</v>
      </c>
      <c r="L26" s="2" t="s">
        <v>22</v>
      </c>
      <c r="M26" s="2"/>
    </row>
    <row r="27" customFormat="false" ht="23.85" hidden="false" customHeight="false" outlineLevel="0" collapsed="false">
      <c r="A27" s="4" t="n">
        <v>26</v>
      </c>
      <c r="B27" s="5" t="n">
        <v>46321</v>
      </c>
      <c r="C27" s="4" t="s">
        <v>64</v>
      </c>
      <c r="D27" s="4" t="s">
        <v>45</v>
      </c>
      <c r="E27" s="4" t="s">
        <v>161</v>
      </c>
      <c r="F27" s="4" t="s">
        <v>162</v>
      </c>
      <c r="G27" s="4" t="s">
        <v>17</v>
      </c>
      <c r="H27" s="4" t="s">
        <v>163</v>
      </c>
      <c r="I27" s="4" t="s">
        <v>164</v>
      </c>
      <c r="J27" s="4" t="s">
        <v>165</v>
      </c>
      <c r="K27" s="4" t="s">
        <v>115</v>
      </c>
      <c r="L27" s="4" t="s">
        <v>22</v>
      </c>
      <c r="M27" s="4"/>
    </row>
    <row r="28" customFormat="false" ht="15" hidden="false" customHeight="false" outlineLevel="0" collapsed="false">
      <c r="A28" s="2" t="n">
        <v>27</v>
      </c>
      <c r="B28" s="3" t="n">
        <v>46328</v>
      </c>
      <c r="C28" s="2" t="s">
        <v>38</v>
      </c>
      <c r="D28" s="2" t="s">
        <v>39</v>
      </c>
      <c r="E28" s="2" t="s">
        <v>166</v>
      </c>
      <c r="F28" s="2" t="s">
        <v>167</v>
      </c>
      <c r="G28" s="2" t="s">
        <v>33</v>
      </c>
      <c r="H28" s="2" t="s">
        <v>168</v>
      </c>
      <c r="I28" s="2" t="s">
        <v>169</v>
      </c>
      <c r="J28" s="2" t="s">
        <v>44</v>
      </c>
      <c r="K28" s="2" t="s">
        <v>37</v>
      </c>
      <c r="L28" s="2" t="s">
        <v>22</v>
      </c>
      <c r="M28" s="2"/>
    </row>
    <row r="29" customFormat="false" ht="23.85" hidden="false" customHeight="false" outlineLevel="0" collapsed="false">
      <c r="A29" s="4" t="n">
        <v>28</v>
      </c>
      <c r="B29" s="5" t="n">
        <v>46335</v>
      </c>
      <c r="C29" s="4" t="s">
        <v>23</v>
      </c>
      <c r="D29" s="4" t="s">
        <v>109</v>
      </c>
      <c r="E29" s="4" t="s">
        <v>170</v>
      </c>
      <c r="F29" s="4" t="s">
        <v>171</v>
      </c>
      <c r="G29" s="4" t="s">
        <v>17</v>
      </c>
      <c r="H29" s="4" t="s">
        <v>172</v>
      </c>
      <c r="I29" s="4" t="s">
        <v>173</v>
      </c>
      <c r="J29" s="4" t="s">
        <v>174</v>
      </c>
      <c r="K29" s="4" t="s">
        <v>37</v>
      </c>
      <c r="L29" s="4" t="s">
        <v>22</v>
      </c>
      <c r="M29" s="4"/>
    </row>
    <row r="30" customFormat="false" ht="23.85" hidden="false" customHeight="false" outlineLevel="0" collapsed="false">
      <c r="A30" s="2" t="n">
        <v>29</v>
      </c>
      <c r="B30" s="3" t="n">
        <v>46342</v>
      </c>
      <c r="C30" s="2" t="s">
        <v>29</v>
      </c>
      <c r="D30" s="2" t="s">
        <v>175</v>
      </c>
      <c r="E30" s="2" t="s">
        <v>176</v>
      </c>
      <c r="F30" s="2" t="s">
        <v>177</v>
      </c>
      <c r="G30" s="2" t="s">
        <v>33</v>
      </c>
      <c r="H30" s="2" t="s">
        <v>178</v>
      </c>
      <c r="I30" s="2" t="s">
        <v>179</v>
      </c>
      <c r="J30" s="2" t="s">
        <v>180</v>
      </c>
      <c r="K30" s="2" t="s">
        <v>115</v>
      </c>
      <c r="L30" s="2" t="s">
        <v>22</v>
      </c>
      <c r="M30" s="2"/>
    </row>
    <row r="31" customFormat="false" ht="23.85" hidden="false" customHeight="false" outlineLevel="0" collapsed="false">
      <c r="A31" s="4" t="n">
        <v>30</v>
      </c>
      <c r="B31" s="5" t="n">
        <v>46349</v>
      </c>
      <c r="C31" s="4" t="s">
        <v>38</v>
      </c>
      <c r="D31" s="4" t="s">
        <v>14</v>
      </c>
      <c r="E31" s="4" t="s">
        <v>181</v>
      </c>
      <c r="F31" s="4" t="s">
        <v>182</v>
      </c>
      <c r="G31" s="4" t="s">
        <v>17</v>
      </c>
      <c r="H31" s="4" t="s">
        <v>183</v>
      </c>
      <c r="I31" s="4" t="s">
        <v>184</v>
      </c>
      <c r="J31" s="4" t="s">
        <v>185</v>
      </c>
      <c r="K31" s="4" t="s">
        <v>115</v>
      </c>
      <c r="L31" s="4" t="s">
        <v>22</v>
      </c>
      <c r="M31" s="4"/>
    </row>
    <row r="32" customFormat="false" ht="23.85" hidden="false" customHeight="false" outlineLevel="0" collapsed="false">
      <c r="A32" s="2" t="n">
        <v>31</v>
      </c>
      <c r="B32" s="3" t="n">
        <v>46356</v>
      </c>
      <c r="C32" s="2" t="s">
        <v>57</v>
      </c>
      <c r="D32" s="2" t="s">
        <v>30</v>
      </c>
      <c r="E32" s="2" t="s">
        <v>186</v>
      </c>
      <c r="F32" s="2" t="s">
        <v>187</v>
      </c>
      <c r="G32" s="2" t="s">
        <v>33</v>
      </c>
      <c r="H32" s="2" t="s">
        <v>188</v>
      </c>
      <c r="I32" s="2" t="s">
        <v>189</v>
      </c>
      <c r="J32" s="2" t="s">
        <v>98</v>
      </c>
      <c r="K32" s="2" t="s">
        <v>37</v>
      </c>
      <c r="L32" s="2" t="s">
        <v>22</v>
      </c>
      <c r="M32" s="2"/>
    </row>
    <row r="33" customFormat="false" ht="15" hidden="false" customHeight="false" outlineLevel="0" collapsed="false">
      <c r="A33" s="4" t="n">
        <v>32</v>
      </c>
      <c r="B33" s="5" t="n">
        <v>46363</v>
      </c>
      <c r="C33" s="4" t="s">
        <v>13</v>
      </c>
      <c r="D33" s="4" t="s">
        <v>51</v>
      </c>
      <c r="E33" s="4" t="s">
        <v>190</v>
      </c>
      <c r="F33" s="4" t="s">
        <v>191</v>
      </c>
      <c r="G33" s="4" t="s">
        <v>33</v>
      </c>
      <c r="H33" s="4" t="s">
        <v>192</v>
      </c>
      <c r="I33" s="4" t="s">
        <v>193</v>
      </c>
      <c r="J33" s="4" t="s">
        <v>194</v>
      </c>
      <c r="K33" s="4" t="s">
        <v>37</v>
      </c>
      <c r="L33" s="4" t="s">
        <v>22</v>
      </c>
      <c r="M33" s="4"/>
    </row>
    <row r="34" customFormat="false" ht="23.85" hidden="false" customHeight="false" outlineLevel="0" collapsed="false">
      <c r="A34" s="2" t="n">
        <v>33</v>
      </c>
      <c r="B34" s="3" t="n">
        <v>46370</v>
      </c>
      <c r="C34" s="2" t="s">
        <v>29</v>
      </c>
      <c r="D34" s="2" t="s">
        <v>65</v>
      </c>
      <c r="E34" s="2" t="s">
        <v>195</v>
      </c>
      <c r="F34" s="2" t="s">
        <v>196</v>
      </c>
      <c r="G34" s="2" t="s">
        <v>33</v>
      </c>
      <c r="H34" s="2" t="s">
        <v>197</v>
      </c>
      <c r="I34" s="2" t="s">
        <v>198</v>
      </c>
      <c r="J34" s="2" t="s">
        <v>199</v>
      </c>
      <c r="K34" s="2" t="s">
        <v>37</v>
      </c>
      <c r="L34" s="2" t="s">
        <v>22</v>
      </c>
      <c r="M34" s="2"/>
    </row>
    <row r="35" customFormat="false" ht="23.85" hidden="false" customHeight="false" outlineLevel="0" collapsed="false">
      <c r="A35" s="4" t="n">
        <v>34</v>
      </c>
      <c r="B35" s="5" t="n">
        <v>46377</v>
      </c>
      <c r="C35" s="4" t="s">
        <v>23</v>
      </c>
      <c r="D35" s="4" t="s">
        <v>58</v>
      </c>
      <c r="E35" s="4" t="s">
        <v>200</v>
      </c>
      <c r="F35" s="4" t="s">
        <v>201</v>
      </c>
      <c r="G35" s="4" t="s">
        <v>17</v>
      </c>
      <c r="H35" s="4" t="s">
        <v>202</v>
      </c>
      <c r="I35" s="4" t="s">
        <v>203</v>
      </c>
      <c r="J35" s="4" t="s">
        <v>204</v>
      </c>
      <c r="K35" s="4" t="s">
        <v>115</v>
      </c>
      <c r="L35" s="4" t="s">
        <v>22</v>
      </c>
      <c r="M35" s="4"/>
    </row>
    <row r="36" customFormat="false" ht="15" hidden="false" customHeight="false" outlineLevel="0" collapsed="false">
      <c r="A36" s="2" t="n">
        <v>35</v>
      </c>
      <c r="B36" s="3" t="n">
        <v>46384</v>
      </c>
      <c r="C36" s="2" t="s">
        <v>38</v>
      </c>
      <c r="D36" s="2" t="s">
        <v>116</v>
      </c>
      <c r="E36" s="2" t="s">
        <v>205</v>
      </c>
      <c r="F36" s="2" t="s">
        <v>206</v>
      </c>
      <c r="G36" s="2" t="s">
        <v>33</v>
      </c>
      <c r="H36" s="2" t="s">
        <v>207</v>
      </c>
      <c r="I36" s="2" t="s">
        <v>208</v>
      </c>
      <c r="J36" s="2" t="s">
        <v>44</v>
      </c>
      <c r="K36" s="2" t="s">
        <v>37</v>
      </c>
      <c r="L36" s="2" t="s">
        <v>22</v>
      </c>
      <c r="M36" s="2"/>
    </row>
    <row r="37" customFormat="false" ht="23.85" hidden="false" customHeight="false" outlineLevel="0" collapsed="false">
      <c r="A37" s="4" t="n">
        <v>36</v>
      </c>
      <c r="B37" s="5" t="n">
        <v>46391</v>
      </c>
      <c r="C37" s="4" t="s">
        <v>64</v>
      </c>
      <c r="D37" s="4" t="s">
        <v>121</v>
      </c>
      <c r="E37" s="4" t="s">
        <v>209</v>
      </c>
      <c r="F37" s="4" t="s">
        <v>210</v>
      </c>
      <c r="G37" s="4" t="s">
        <v>17</v>
      </c>
      <c r="H37" s="4" t="s">
        <v>211</v>
      </c>
      <c r="I37" s="4" t="s">
        <v>212</v>
      </c>
      <c r="J37" s="4" t="s">
        <v>213</v>
      </c>
      <c r="K37" s="4" t="s">
        <v>115</v>
      </c>
      <c r="L37" s="4" t="s">
        <v>22</v>
      </c>
      <c r="M37" s="4"/>
    </row>
    <row r="38" customFormat="false" ht="23.85" hidden="false" customHeight="false" outlineLevel="0" collapsed="false">
      <c r="A38" s="2" t="n">
        <v>37</v>
      </c>
      <c r="B38" s="3" t="n">
        <v>46398</v>
      </c>
      <c r="C38" s="2" t="s">
        <v>13</v>
      </c>
      <c r="D38" s="2" t="s">
        <v>82</v>
      </c>
      <c r="E38" s="2" t="s">
        <v>214</v>
      </c>
      <c r="F38" s="2" t="s">
        <v>215</v>
      </c>
      <c r="G38" s="2" t="s">
        <v>17</v>
      </c>
      <c r="H38" s="2" t="s">
        <v>216</v>
      </c>
      <c r="I38" s="2" t="s">
        <v>217</v>
      </c>
      <c r="J38" s="2" t="s">
        <v>218</v>
      </c>
      <c r="K38" s="2" t="s">
        <v>37</v>
      </c>
      <c r="L38" s="2" t="s">
        <v>22</v>
      </c>
      <c r="M38" s="2"/>
    </row>
    <row r="39" customFormat="false" ht="23.85" hidden="false" customHeight="false" outlineLevel="0" collapsed="false">
      <c r="A39" s="4" t="n">
        <v>38</v>
      </c>
      <c r="B39" s="5" t="n">
        <v>46405</v>
      </c>
      <c r="C39" s="4" t="s">
        <v>23</v>
      </c>
      <c r="D39" s="4" t="s">
        <v>88</v>
      </c>
      <c r="E39" s="4" t="s">
        <v>219</v>
      </c>
      <c r="F39" s="4" t="s">
        <v>220</v>
      </c>
      <c r="G39" s="4" t="s">
        <v>17</v>
      </c>
      <c r="H39" s="4" t="s">
        <v>221</v>
      </c>
      <c r="I39" s="4" t="s">
        <v>222</v>
      </c>
      <c r="J39" s="4" t="s">
        <v>223</v>
      </c>
      <c r="K39" s="4" t="s">
        <v>115</v>
      </c>
      <c r="L39" s="4" t="s">
        <v>22</v>
      </c>
      <c r="M39" s="4"/>
    </row>
    <row r="40" customFormat="false" ht="15" hidden="false" customHeight="false" outlineLevel="0" collapsed="false">
      <c r="A40" s="2" t="n">
        <v>39</v>
      </c>
      <c r="B40" s="3" t="n">
        <v>46412</v>
      </c>
      <c r="C40" s="2" t="s">
        <v>29</v>
      </c>
      <c r="D40" s="2" t="s">
        <v>109</v>
      </c>
      <c r="E40" s="2" t="s">
        <v>224</v>
      </c>
      <c r="F40" s="2" t="s">
        <v>225</v>
      </c>
      <c r="G40" s="2" t="s">
        <v>33</v>
      </c>
      <c r="H40" s="2" t="s">
        <v>226</v>
      </c>
      <c r="I40" s="2" t="s">
        <v>227</v>
      </c>
      <c r="J40" s="2" t="s">
        <v>228</v>
      </c>
      <c r="K40" s="2" t="s">
        <v>37</v>
      </c>
      <c r="L40" s="2" t="s">
        <v>22</v>
      </c>
      <c r="M40" s="2"/>
    </row>
    <row r="41" customFormat="false" ht="15" hidden="false" customHeight="false" outlineLevel="0" collapsed="false">
      <c r="A41" s="4" t="n">
        <v>40</v>
      </c>
      <c r="B41" s="5" t="n">
        <v>46419</v>
      </c>
      <c r="C41" s="4" t="s">
        <v>38</v>
      </c>
      <c r="D41" s="4" t="s">
        <v>71</v>
      </c>
      <c r="E41" s="4" t="s">
        <v>229</v>
      </c>
      <c r="F41" s="4" t="s">
        <v>230</v>
      </c>
      <c r="G41" s="4" t="s">
        <v>33</v>
      </c>
      <c r="H41" s="4" t="s">
        <v>231</v>
      </c>
      <c r="I41" s="4" t="s">
        <v>232</v>
      </c>
      <c r="J41" s="4" t="s">
        <v>233</v>
      </c>
      <c r="K41" s="4" t="s">
        <v>115</v>
      </c>
      <c r="L41" s="4" t="s">
        <v>22</v>
      </c>
      <c r="M41" s="4"/>
    </row>
    <row r="42" customFormat="false" ht="15" hidden="false" customHeight="false" outlineLevel="0" collapsed="false">
      <c r="A42" s="2" t="n">
        <v>41</v>
      </c>
      <c r="B42" s="3" t="n">
        <v>46426</v>
      </c>
      <c r="C42" s="2" t="s">
        <v>57</v>
      </c>
      <c r="D42" s="2" t="s">
        <v>14</v>
      </c>
      <c r="E42" s="2" t="s">
        <v>234</v>
      </c>
      <c r="F42" s="2" t="s">
        <v>235</v>
      </c>
      <c r="G42" s="2" t="s">
        <v>17</v>
      </c>
      <c r="H42" s="2" t="s">
        <v>236</v>
      </c>
      <c r="I42" s="2" t="s">
        <v>237</v>
      </c>
      <c r="J42" s="2" t="s">
        <v>238</v>
      </c>
      <c r="K42" s="2" t="s">
        <v>21</v>
      </c>
      <c r="L42" s="2" t="s">
        <v>22</v>
      </c>
      <c r="M42" s="2"/>
    </row>
    <row r="43" customFormat="false" ht="15" hidden="false" customHeight="false" outlineLevel="0" collapsed="false">
      <c r="A43" s="4" t="n">
        <v>42</v>
      </c>
      <c r="B43" s="5" t="n">
        <v>46433</v>
      </c>
      <c r="C43" s="4" t="s">
        <v>13</v>
      </c>
      <c r="D43" s="4" t="s">
        <v>175</v>
      </c>
      <c r="E43" s="4" t="s">
        <v>239</v>
      </c>
      <c r="F43" s="4" t="s">
        <v>240</v>
      </c>
      <c r="G43" s="4" t="s">
        <v>33</v>
      </c>
      <c r="H43" s="4" t="s">
        <v>241</v>
      </c>
      <c r="I43" s="4" t="s">
        <v>242</v>
      </c>
      <c r="J43" s="4" t="s">
        <v>137</v>
      </c>
      <c r="K43" s="4" t="s">
        <v>21</v>
      </c>
      <c r="L43" s="4" t="s">
        <v>22</v>
      </c>
      <c r="M43" s="4"/>
    </row>
    <row r="44" customFormat="false" ht="15" hidden="false" customHeight="false" outlineLevel="0" collapsed="false">
      <c r="A44" s="2" t="n">
        <v>43</v>
      </c>
      <c r="B44" s="3" t="n">
        <v>46440</v>
      </c>
      <c r="C44" s="2" t="s">
        <v>23</v>
      </c>
      <c r="D44" s="2" t="s">
        <v>51</v>
      </c>
      <c r="E44" s="2" t="s">
        <v>243</v>
      </c>
      <c r="F44" s="2" t="s">
        <v>244</v>
      </c>
      <c r="G44" s="2" t="s">
        <v>33</v>
      </c>
      <c r="H44" s="2" t="s">
        <v>245</v>
      </c>
      <c r="I44" s="2" t="s">
        <v>246</v>
      </c>
      <c r="J44" s="2" t="s">
        <v>56</v>
      </c>
      <c r="K44" s="2" t="s">
        <v>37</v>
      </c>
      <c r="L44" s="2" t="s">
        <v>22</v>
      </c>
      <c r="M44" s="2"/>
    </row>
    <row r="45" customFormat="false" ht="23.85" hidden="false" customHeight="false" outlineLevel="0" collapsed="false">
      <c r="A45" s="4" t="n">
        <v>44</v>
      </c>
      <c r="B45" s="5" t="n">
        <v>46447</v>
      </c>
      <c r="C45" s="4" t="s">
        <v>64</v>
      </c>
      <c r="D45" s="4" t="s">
        <v>116</v>
      </c>
      <c r="E45" s="4" t="s">
        <v>247</v>
      </c>
      <c r="F45" s="4" t="s">
        <v>248</v>
      </c>
      <c r="G45" s="4" t="s">
        <v>33</v>
      </c>
      <c r="H45" s="4" t="s">
        <v>249</v>
      </c>
      <c r="I45" s="4" t="s">
        <v>250</v>
      </c>
      <c r="J45" s="4" t="s">
        <v>213</v>
      </c>
      <c r="K45" s="4" t="s">
        <v>21</v>
      </c>
      <c r="L45" s="4" t="s">
        <v>22</v>
      </c>
      <c r="M45" s="4"/>
    </row>
    <row r="46" customFormat="false" ht="23.85" hidden="false" customHeight="false" outlineLevel="0" collapsed="false">
      <c r="A46" s="2" t="n">
        <v>45</v>
      </c>
      <c r="B46" s="3" t="n">
        <v>46454</v>
      </c>
      <c r="C46" s="2" t="s">
        <v>38</v>
      </c>
      <c r="D46" s="2" t="s">
        <v>152</v>
      </c>
      <c r="E46" s="2" t="s">
        <v>251</v>
      </c>
      <c r="F46" s="2" t="s">
        <v>252</v>
      </c>
      <c r="G46" s="2" t="s">
        <v>17</v>
      </c>
      <c r="H46" s="2" t="s">
        <v>253</v>
      </c>
      <c r="I46" s="2" t="s">
        <v>254</v>
      </c>
      <c r="J46" s="2" t="s">
        <v>126</v>
      </c>
      <c r="K46" s="2" t="s">
        <v>37</v>
      </c>
      <c r="L46" s="2" t="s">
        <v>22</v>
      </c>
      <c r="M46" s="2"/>
    </row>
    <row r="47" customFormat="false" ht="23.85" hidden="false" customHeight="false" outlineLevel="0" collapsed="false">
      <c r="A47" s="4" t="n">
        <v>46</v>
      </c>
      <c r="B47" s="5" t="n">
        <v>46461</v>
      </c>
      <c r="C47" s="4" t="s">
        <v>29</v>
      </c>
      <c r="D47" s="4" t="s">
        <v>45</v>
      </c>
      <c r="E47" s="4" t="s">
        <v>255</v>
      </c>
      <c r="F47" s="4" t="s">
        <v>256</v>
      </c>
      <c r="G47" s="4" t="s">
        <v>33</v>
      </c>
      <c r="H47" s="4" t="s">
        <v>257</v>
      </c>
      <c r="I47" s="4" t="s">
        <v>258</v>
      </c>
      <c r="J47" s="4" t="s">
        <v>259</v>
      </c>
      <c r="K47" s="4" t="s">
        <v>115</v>
      </c>
      <c r="L47" s="4" t="s">
        <v>22</v>
      </c>
      <c r="M47" s="4"/>
    </row>
    <row r="48" customFormat="false" ht="15" hidden="false" customHeight="false" outlineLevel="0" collapsed="false">
      <c r="A48" s="2" t="n">
        <v>47</v>
      </c>
      <c r="B48" s="3" t="n">
        <v>46468</v>
      </c>
      <c r="C48" s="2" t="s">
        <v>13</v>
      </c>
      <c r="D48" s="2" t="s">
        <v>58</v>
      </c>
      <c r="E48" s="2" t="s">
        <v>260</v>
      </c>
      <c r="F48" s="2" t="s">
        <v>261</v>
      </c>
      <c r="G48" s="2" t="s">
        <v>33</v>
      </c>
      <c r="H48" s="2" t="s">
        <v>262</v>
      </c>
      <c r="I48" s="2" t="s">
        <v>263</v>
      </c>
      <c r="J48" s="2" t="s">
        <v>264</v>
      </c>
      <c r="K48" s="2" t="s">
        <v>37</v>
      </c>
      <c r="L48" s="2" t="s">
        <v>22</v>
      </c>
      <c r="M48" s="2"/>
    </row>
    <row r="49" customFormat="false" ht="23.85" hidden="false" customHeight="false" outlineLevel="0" collapsed="false">
      <c r="A49" s="4" t="n">
        <v>48</v>
      </c>
      <c r="B49" s="5" t="n">
        <v>46475</v>
      </c>
      <c r="C49" s="4" t="s">
        <v>23</v>
      </c>
      <c r="D49" s="4" t="s">
        <v>30</v>
      </c>
      <c r="E49" s="4" t="s">
        <v>265</v>
      </c>
      <c r="F49" s="4" t="s">
        <v>266</v>
      </c>
      <c r="G49" s="4" t="s">
        <v>33</v>
      </c>
      <c r="H49" s="4" t="s">
        <v>267</v>
      </c>
      <c r="I49" s="4" t="s">
        <v>268</v>
      </c>
      <c r="J49" s="4" t="s">
        <v>269</v>
      </c>
      <c r="K49" s="4" t="s">
        <v>115</v>
      </c>
      <c r="L49" s="4" t="s">
        <v>22</v>
      </c>
      <c r="M49" s="4"/>
    </row>
  </sheetData>
  <conditionalFormatting sqref="K2:K49">
    <cfRule type="cellIs" priority="2" operator="equal" aboveAverage="0" equalAverage="0" bottom="0" percent="0" rank="0" text="" dxfId="10">
      <formula>"P0"</formula>
    </cfRule>
    <cfRule type="cellIs" priority="3" operator="equal" aboveAverage="0" equalAverage="0" bottom="0" percent="0" rank="0" text="" dxfId="11">
      <formula>"P1"</formula>
    </cfRule>
    <cfRule type="cellIs" priority="4" operator="equal" aboveAverage="0" equalAverage="0" bottom="0" percent="0" rank="0" text="" dxfId="12">
      <formula>"P2"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6" t="s">
        <v>270</v>
      </c>
    </row>
    <row r="2" customFormat="false" ht="15" hidden="false" customHeight="false" outlineLevel="0" collapsed="false">
      <c r="A2" s="7" t="s">
        <v>2</v>
      </c>
      <c r="B2" s="7" t="s">
        <v>271</v>
      </c>
    </row>
    <row r="3" customFormat="false" ht="15" hidden="false" customHeight="false" outlineLevel="0" collapsed="false">
      <c r="A3" s="8" t="s">
        <v>13</v>
      </c>
      <c r="B3" s="8" t="n">
        <f aca="false">COUNTIF(Calendar!C:C,A3)</f>
        <v>9</v>
      </c>
    </row>
    <row r="4" customFormat="false" ht="15" hidden="false" customHeight="false" outlineLevel="0" collapsed="false">
      <c r="A4" s="8" t="s">
        <v>23</v>
      </c>
      <c r="B4" s="8" t="n">
        <f aca="false">COUNTIF(Calendar!C:C,A4)</f>
        <v>11</v>
      </c>
    </row>
    <row r="5" customFormat="false" ht="15" hidden="false" customHeight="false" outlineLevel="0" collapsed="false">
      <c r="A5" s="8" t="s">
        <v>29</v>
      </c>
      <c r="B5" s="8" t="n">
        <f aca="false">COUNTIF(Calendar!C:C,A5)</f>
        <v>8</v>
      </c>
    </row>
    <row r="6" customFormat="false" ht="15" hidden="false" customHeight="false" outlineLevel="0" collapsed="false">
      <c r="A6" s="8" t="s">
        <v>64</v>
      </c>
      <c r="B6" s="8" t="n">
        <f aca="false">COUNTIF(Calendar!C:C,A6)</f>
        <v>5</v>
      </c>
    </row>
    <row r="7" customFormat="false" ht="15" hidden="false" customHeight="false" outlineLevel="0" collapsed="false">
      <c r="A7" s="8" t="s">
        <v>57</v>
      </c>
      <c r="B7" s="8" t="n">
        <f aca="false">COUNTIF(Calendar!C:C,A7)</f>
        <v>6</v>
      </c>
    </row>
    <row r="8" customFormat="false" ht="15" hidden="false" customHeight="false" outlineLevel="0" collapsed="false">
      <c r="A8" s="8" t="s">
        <v>38</v>
      </c>
      <c r="B8" s="8" t="n">
        <f aca="false">COUNTIF(Calendar!C:C,A8)</f>
        <v>9</v>
      </c>
    </row>
    <row r="9" customFormat="false" ht="15" hidden="false" customHeight="false" outlineLevel="0" collapsed="false">
      <c r="A9" s="9" t="s">
        <v>272</v>
      </c>
      <c r="B9" s="9" t="n">
        <f aca="false">SUM(B3:B8)</f>
        <v>48</v>
      </c>
    </row>
    <row r="12" customFormat="false" ht="16.15" hidden="false" customHeight="false" outlineLevel="0" collapsed="false">
      <c r="A12" s="6" t="s">
        <v>273</v>
      </c>
    </row>
    <row r="13" customFormat="false" ht="15" hidden="false" customHeight="false" outlineLevel="0" collapsed="false">
      <c r="A13" s="10" t="s">
        <v>274</v>
      </c>
      <c r="B13" s="10" t="s">
        <v>271</v>
      </c>
    </row>
    <row r="14" customFormat="false" ht="15" hidden="false" customHeight="false" outlineLevel="0" collapsed="false">
      <c r="A14" s="8" t="s">
        <v>14</v>
      </c>
      <c r="B14" s="8" t="n">
        <f aca="false">COUNTIF(Calendar!D:D,A14)</f>
        <v>6</v>
      </c>
    </row>
    <row r="15" customFormat="false" ht="15" hidden="false" customHeight="false" outlineLevel="0" collapsed="false">
      <c r="A15" s="8" t="s">
        <v>45</v>
      </c>
      <c r="B15" s="8" t="n">
        <f aca="false">COUNTIF(Calendar!D:D,A15)</f>
        <v>4</v>
      </c>
    </row>
    <row r="16" customFormat="false" ht="15" hidden="false" customHeight="false" outlineLevel="0" collapsed="false">
      <c r="A16" s="8" t="s">
        <v>30</v>
      </c>
      <c r="B16" s="8" t="n">
        <f aca="false">COUNTIF(Calendar!D:D,A16)</f>
        <v>4</v>
      </c>
    </row>
    <row r="17" customFormat="false" ht="15" hidden="false" customHeight="false" outlineLevel="0" collapsed="false">
      <c r="A17" s="8" t="s">
        <v>51</v>
      </c>
      <c r="B17" s="8" t="n">
        <f aca="false">COUNTIF(Calendar!D:D,A17)</f>
        <v>4</v>
      </c>
    </row>
    <row r="18" customFormat="false" ht="15" hidden="false" customHeight="false" outlineLevel="0" collapsed="false">
      <c r="A18" s="8" t="s">
        <v>65</v>
      </c>
      <c r="B18" s="8" t="n">
        <f aca="false">COUNTIF(Calendar!D:D,A18)</f>
        <v>3</v>
      </c>
    </row>
    <row r="19" customFormat="false" ht="15" hidden="false" customHeight="false" outlineLevel="0" collapsed="false">
      <c r="A19" s="8" t="s">
        <v>82</v>
      </c>
      <c r="B19" s="8" t="n">
        <f aca="false">COUNTIF(Calendar!D:D,A19)</f>
        <v>2</v>
      </c>
    </row>
    <row r="20" customFormat="false" ht="15" hidden="false" customHeight="false" outlineLevel="0" collapsed="false">
      <c r="A20" s="8" t="s">
        <v>58</v>
      </c>
      <c r="B20" s="8" t="n">
        <f aca="false">COUNTIF(Calendar!D:D,A20)</f>
        <v>4</v>
      </c>
    </row>
    <row r="21" customFormat="false" ht="15" hidden="false" customHeight="false" outlineLevel="0" collapsed="false">
      <c r="A21" s="8" t="s">
        <v>88</v>
      </c>
      <c r="B21" s="8" t="n">
        <f aca="false">COUNTIF(Calendar!D:D,A21)</f>
        <v>2</v>
      </c>
    </row>
    <row r="22" customFormat="false" ht="15" hidden="false" customHeight="false" outlineLevel="0" collapsed="false">
      <c r="A22" s="8" t="s">
        <v>109</v>
      </c>
      <c r="B22" s="8" t="n">
        <f aca="false">COUNTIF(Calendar!D:D,A22)</f>
        <v>3</v>
      </c>
    </row>
    <row r="23" customFormat="false" ht="15" hidden="false" customHeight="false" outlineLevel="0" collapsed="false">
      <c r="A23" s="8" t="s">
        <v>71</v>
      </c>
      <c r="B23" s="8" t="n">
        <f aca="false">COUNTIF(Calendar!D:D,A23)</f>
        <v>3</v>
      </c>
    </row>
    <row r="24" customFormat="false" ht="15" hidden="false" customHeight="false" outlineLevel="0" collapsed="false">
      <c r="A24" s="8" t="s">
        <v>116</v>
      </c>
      <c r="B24" s="8" t="n">
        <f aca="false">COUNTIF(Calendar!D:D,A24)</f>
        <v>4</v>
      </c>
    </row>
    <row r="25" customFormat="false" ht="15" hidden="false" customHeight="false" outlineLevel="0" collapsed="false">
      <c r="A25" s="8" t="s">
        <v>121</v>
      </c>
      <c r="B25" s="8" t="n">
        <f aca="false">COUNTIF(Calendar!D:D,A25)</f>
        <v>2</v>
      </c>
    </row>
    <row r="26" customFormat="false" ht="15" hidden="false" customHeight="false" outlineLevel="0" collapsed="false">
      <c r="A26" s="8" t="s">
        <v>132</v>
      </c>
      <c r="B26" s="8" t="n">
        <f aca="false">COUNTIF(Calendar!D:D,A26)</f>
        <v>1</v>
      </c>
    </row>
    <row r="27" customFormat="false" ht="15" hidden="false" customHeight="false" outlineLevel="0" collapsed="false">
      <c r="A27" s="8" t="s">
        <v>39</v>
      </c>
      <c r="B27" s="8" t="n">
        <f aca="false">COUNTIF(Calendar!D:D,A27)</f>
        <v>2</v>
      </c>
    </row>
    <row r="28" customFormat="false" ht="15" hidden="false" customHeight="false" outlineLevel="0" collapsed="false">
      <c r="A28" s="8" t="s">
        <v>175</v>
      </c>
      <c r="B28" s="8" t="n">
        <f aca="false">COUNTIF(Calendar!D:D,A28)</f>
        <v>2</v>
      </c>
    </row>
    <row r="29" customFormat="false" ht="15" hidden="false" customHeight="false" outlineLevel="0" collapsed="false">
      <c r="A29" s="8" t="s">
        <v>152</v>
      </c>
      <c r="B29" s="8" t="n">
        <f aca="false">COUNTIF(Calendar!D:D,A29)</f>
        <v>2</v>
      </c>
    </row>
    <row r="33" customFormat="false" ht="16.15" hidden="false" customHeight="false" outlineLevel="0" collapsed="false">
      <c r="A33" s="6" t="s">
        <v>275</v>
      </c>
    </row>
    <row r="34" customFormat="false" ht="15" hidden="false" customHeight="false" outlineLevel="0" collapsed="false">
      <c r="A34" s="10" t="s">
        <v>276</v>
      </c>
      <c r="B34" s="10" t="s">
        <v>271</v>
      </c>
    </row>
    <row r="35" customFormat="false" ht="15" hidden="false" customHeight="false" outlineLevel="0" collapsed="false">
      <c r="A35" s="8" t="s">
        <v>33</v>
      </c>
      <c r="B35" s="8" t="n">
        <f aca="false">COUNTIF(Calendar!G:G,A35)</f>
        <v>25</v>
      </c>
    </row>
    <row r="36" customFormat="false" ht="15" hidden="false" customHeight="false" outlineLevel="0" collapsed="false">
      <c r="A36" s="8" t="s">
        <v>17</v>
      </c>
      <c r="B36" s="8" t="n">
        <f aca="false">COUNTIF(Calendar!G:G,A36)</f>
        <v>23</v>
      </c>
    </row>
    <row r="37" customFormat="false" ht="15" hidden="false" customHeight="false" outlineLevel="0" collapsed="false">
      <c r="A37" s="8" t="s">
        <v>277</v>
      </c>
      <c r="B37" s="8" t="n">
        <f aca="false">COUNTIF(Calendar!G:G,A37)</f>
        <v>0</v>
      </c>
    </row>
    <row r="41" customFormat="false" ht="16.15" hidden="false" customHeight="false" outlineLevel="0" collapsed="false">
      <c r="A41" s="6" t="s">
        <v>278</v>
      </c>
    </row>
    <row r="42" customFormat="false" ht="15" hidden="false" customHeight="false" outlineLevel="0" collapsed="false">
      <c r="A42" s="10" t="s">
        <v>10</v>
      </c>
      <c r="B42" s="10" t="s">
        <v>271</v>
      </c>
    </row>
    <row r="43" customFormat="false" ht="15" hidden="false" customHeight="false" outlineLevel="0" collapsed="false">
      <c r="A43" s="8" t="s">
        <v>21</v>
      </c>
      <c r="B43" s="8" t="n">
        <f aca="false">COUNTIF(Calendar!K:K,A43)</f>
        <v>12</v>
      </c>
    </row>
    <row r="44" customFormat="false" ht="15" hidden="false" customHeight="false" outlineLevel="0" collapsed="false">
      <c r="A44" s="8" t="s">
        <v>37</v>
      </c>
      <c r="B44" s="8" t="n">
        <f aca="false">COUNTIF(Calendar!K:K,A44)</f>
        <v>23</v>
      </c>
    </row>
    <row r="45" customFormat="false" ht="15" hidden="false" customHeight="false" outlineLevel="0" collapsed="false">
      <c r="A45" s="8" t="s">
        <v>115</v>
      </c>
      <c r="B45" s="8" t="n">
        <f aca="false">COUNTIF(Calendar!K:K,A45)</f>
        <v>13</v>
      </c>
    </row>
    <row r="49" customFormat="false" ht="16.15" hidden="false" customHeight="false" outlineLevel="0" collapsed="false">
      <c r="A49" s="6" t="s">
        <v>279</v>
      </c>
    </row>
    <row r="50" customFormat="false" ht="15" hidden="false" customHeight="false" outlineLevel="0" collapsed="false">
      <c r="A50" s="9" t="s">
        <v>280</v>
      </c>
      <c r="B50" s="9" t="n">
        <f aca="false">COUNTIF(Calendar!L:L,"Published")</f>
        <v>0</v>
      </c>
    </row>
    <row r="51" customFormat="false" ht="15" hidden="false" customHeight="false" outlineLevel="0" collapsed="false">
      <c r="A51" s="9" t="s">
        <v>281</v>
      </c>
      <c r="B51" s="9" t="n">
        <f aca="false">COUNTIF(Calendar!L:L,"Drafted")</f>
        <v>0</v>
      </c>
    </row>
    <row r="52" customFormat="false" ht="15" hidden="false" customHeight="false" outlineLevel="0" collapsed="false">
      <c r="A52" s="9" t="s">
        <v>22</v>
      </c>
      <c r="B52" s="9" t="n">
        <f aca="false">COUNTIF(Calendar!L:L,"Not started")</f>
        <v>48</v>
      </c>
    </row>
    <row r="53" customFormat="false" ht="15" hidden="false" customHeight="false" outlineLevel="0" collapsed="false">
      <c r="A53" s="9" t="s">
        <v>282</v>
      </c>
      <c r="B53" s="11" t="n">
        <f aca="false">IFERROR(B50/(48),0)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2" t="s">
        <v>283</v>
      </c>
      <c r="B1" s="12"/>
    </row>
    <row r="2" customFormat="false" ht="15" hidden="false" customHeight="false" outlineLevel="0" collapsed="false">
      <c r="A2" s="10" t="s">
        <v>284</v>
      </c>
      <c r="B2" s="10" t="s">
        <v>285</v>
      </c>
    </row>
    <row r="3" customFormat="false" ht="15" hidden="false" customHeight="false" outlineLevel="0" collapsed="false">
      <c r="A3" s="13" t="s">
        <v>286</v>
      </c>
      <c r="B3" s="14" t="s">
        <v>287</v>
      </c>
    </row>
    <row r="4" customFormat="false" ht="15" hidden="false" customHeight="false" outlineLevel="0" collapsed="false">
      <c r="A4" s="13" t="s">
        <v>288</v>
      </c>
      <c r="B4" s="14" t="s">
        <v>289</v>
      </c>
    </row>
    <row r="5" customFormat="false" ht="15" hidden="false" customHeight="false" outlineLevel="0" collapsed="false">
      <c r="A5" s="13" t="s">
        <v>290</v>
      </c>
      <c r="B5" s="14" t="s">
        <v>291</v>
      </c>
    </row>
    <row r="6" customFormat="false" ht="15" hidden="false" customHeight="false" outlineLevel="0" collapsed="false">
      <c r="A6" s="13" t="s">
        <v>292</v>
      </c>
      <c r="B6" s="14" t="s">
        <v>293</v>
      </c>
    </row>
    <row r="7" customFormat="false" ht="15" hidden="false" customHeight="false" outlineLevel="0" collapsed="false">
      <c r="A7" s="13" t="s">
        <v>294</v>
      </c>
      <c r="B7" s="14" t="s">
        <v>295</v>
      </c>
    </row>
    <row r="8" customFormat="false" ht="15" hidden="false" customHeight="false" outlineLevel="0" collapsed="false">
      <c r="A8" s="13" t="s">
        <v>296</v>
      </c>
      <c r="B8" s="14" t="s">
        <v>297</v>
      </c>
    </row>
    <row r="9" customFormat="false" ht="15" hidden="false" customHeight="false" outlineLevel="0" collapsed="false">
      <c r="A9" s="13" t="s">
        <v>298</v>
      </c>
      <c r="B9" s="14" t="s">
        <v>299</v>
      </c>
    </row>
    <row r="10" customFormat="false" ht="15" hidden="false" customHeight="false" outlineLevel="0" collapsed="false">
      <c r="A10" s="13" t="s">
        <v>300</v>
      </c>
      <c r="B10" s="14" t="s">
        <v>301</v>
      </c>
    </row>
    <row r="11" customFormat="false" ht="15" hidden="false" customHeight="false" outlineLevel="0" collapsed="false">
      <c r="A11" s="13" t="s">
        <v>302</v>
      </c>
      <c r="B11" s="14" t="s">
        <v>303</v>
      </c>
    </row>
    <row r="12" customFormat="false" ht="26.85" hidden="false" customHeight="false" outlineLevel="0" collapsed="false">
      <c r="A12" s="13" t="s">
        <v>304</v>
      </c>
      <c r="B12" s="14" t="s">
        <v>305</v>
      </c>
    </row>
    <row r="13" customFormat="false" ht="26.85" hidden="false" customHeight="false" outlineLevel="0" collapsed="false">
      <c r="A13" s="13" t="s">
        <v>306</v>
      </c>
      <c r="B13" s="14" t="s">
        <v>307</v>
      </c>
    </row>
    <row r="14" customFormat="false" ht="26.85" hidden="false" customHeight="false" outlineLevel="0" collapsed="false">
      <c r="A14" s="13" t="s">
        <v>308</v>
      </c>
      <c r="B14" s="14" t="s">
        <v>309</v>
      </c>
    </row>
    <row r="15" customFormat="false" ht="26.85" hidden="false" customHeight="false" outlineLevel="0" collapsed="false">
      <c r="A15" s="13" t="s">
        <v>310</v>
      </c>
      <c r="B15" s="14" t="s">
        <v>311</v>
      </c>
    </row>
    <row r="16" customFormat="false" ht="26.85" hidden="false" customHeight="false" outlineLevel="0" collapsed="false">
      <c r="A16" s="13" t="s">
        <v>312</v>
      </c>
      <c r="B16" s="14" t="s">
        <v>313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2" t="s">
        <v>314</v>
      </c>
      <c r="B1" s="12"/>
    </row>
    <row r="2" customFormat="false" ht="15" hidden="false" customHeight="false" outlineLevel="0" collapsed="false">
      <c r="A2" s="10" t="s">
        <v>315</v>
      </c>
      <c r="B2" s="10" t="s">
        <v>316</v>
      </c>
      <c r="C2" s="10" t="s">
        <v>317</v>
      </c>
    </row>
    <row r="3" customFormat="false" ht="15" hidden="false" customHeight="false" outlineLevel="0" collapsed="false">
      <c r="A3" s="8" t="n">
        <v>1</v>
      </c>
      <c r="B3" s="15" t="s">
        <v>318</v>
      </c>
      <c r="C3" s="8" t="s">
        <v>319</v>
      </c>
    </row>
    <row r="4" customFormat="false" ht="15" hidden="false" customHeight="false" outlineLevel="0" collapsed="false">
      <c r="A4" s="8" t="n">
        <v>2</v>
      </c>
      <c r="B4" s="15" t="s">
        <v>320</v>
      </c>
      <c r="C4" s="8" t="s">
        <v>319</v>
      </c>
    </row>
    <row r="5" customFormat="false" ht="15" hidden="false" customHeight="false" outlineLevel="0" collapsed="false">
      <c r="A5" s="8" t="n">
        <v>3</v>
      </c>
      <c r="B5" s="15" t="s">
        <v>321</v>
      </c>
      <c r="C5" s="8" t="s">
        <v>319</v>
      </c>
    </row>
    <row r="6" customFormat="false" ht="15" hidden="false" customHeight="false" outlineLevel="0" collapsed="false">
      <c r="A6" s="8" t="n">
        <v>4</v>
      </c>
      <c r="B6" s="15" t="s">
        <v>322</v>
      </c>
      <c r="C6" s="8" t="s">
        <v>319</v>
      </c>
    </row>
    <row r="7" customFormat="false" ht="15" hidden="false" customHeight="false" outlineLevel="0" collapsed="false">
      <c r="A7" s="8" t="n">
        <v>5</v>
      </c>
      <c r="B7" s="15" t="s">
        <v>323</v>
      </c>
      <c r="C7" s="8" t="s">
        <v>319</v>
      </c>
    </row>
    <row r="8" customFormat="false" ht="15" hidden="false" customHeight="false" outlineLevel="0" collapsed="false">
      <c r="A8" s="8" t="n">
        <v>6</v>
      </c>
      <c r="B8" s="15" t="s">
        <v>324</v>
      </c>
      <c r="C8" s="8" t="s">
        <v>319</v>
      </c>
    </row>
    <row r="9" customFormat="false" ht="15" hidden="false" customHeight="false" outlineLevel="0" collapsed="false">
      <c r="A9" s="8" t="n">
        <v>7</v>
      </c>
      <c r="B9" s="15" t="s">
        <v>325</v>
      </c>
      <c r="C9" s="8" t="s">
        <v>319</v>
      </c>
    </row>
    <row r="10" customFormat="false" ht="15" hidden="false" customHeight="false" outlineLevel="0" collapsed="false">
      <c r="A10" s="8" t="n">
        <v>8</v>
      </c>
      <c r="B10" s="15" t="s">
        <v>326</v>
      </c>
      <c r="C10" s="8" t="s">
        <v>319</v>
      </c>
    </row>
    <row r="11" customFormat="false" ht="15" hidden="false" customHeight="false" outlineLevel="0" collapsed="false">
      <c r="A11" s="8" t="n">
        <v>9</v>
      </c>
      <c r="B11" s="15" t="s">
        <v>327</v>
      </c>
      <c r="C11" s="8" t="s">
        <v>319</v>
      </c>
    </row>
    <row r="12" customFormat="false" ht="15" hidden="false" customHeight="false" outlineLevel="0" collapsed="false">
      <c r="A12" s="8" t="n">
        <v>10</v>
      </c>
      <c r="B12" s="15" t="s">
        <v>328</v>
      </c>
      <c r="C12" s="8" t="s">
        <v>319</v>
      </c>
    </row>
    <row r="13" customFormat="false" ht="15" hidden="false" customHeight="false" outlineLevel="0" collapsed="false">
      <c r="A13" s="8" t="n">
        <v>11</v>
      </c>
      <c r="B13" s="15" t="s">
        <v>329</v>
      </c>
      <c r="C13" s="8" t="s">
        <v>319</v>
      </c>
    </row>
    <row r="14" customFormat="false" ht="15" hidden="false" customHeight="false" outlineLevel="0" collapsed="false">
      <c r="A14" s="8" t="n">
        <v>12</v>
      </c>
      <c r="B14" s="15" t="s">
        <v>330</v>
      </c>
      <c r="C14" s="8" t="s">
        <v>319</v>
      </c>
    </row>
    <row r="15" customFormat="false" ht="15" hidden="false" customHeight="false" outlineLevel="0" collapsed="false">
      <c r="A15" s="8" t="n">
        <v>13</v>
      </c>
      <c r="B15" s="15" t="s">
        <v>331</v>
      </c>
      <c r="C15" s="8" t="s">
        <v>319</v>
      </c>
    </row>
    <row r="16" customFormat="false" ht="15" hidden="false" customHeight="false" outlineLevel="0" collapsed="false">
      <c r="A16" s="8" t="n">
        <v>14</v>
      </c>
      <c r="B16" s="15" t="s">
        <v>332</v>
      </c>
      <c r="C16" s="8" t="s">
        <v>319</v>
      </c>
    </row>
    <row r="17" customFormat="false" ht="15" hidden="false" customHeight="false" outlineLevel="0" collapsed="false">
      <c r="A17" s="8" t="n">
        <v>15</v>
      </c>
      <c r="B17" s="15" t="s">
        <v>333</v>
      </c>
      <c r="C17" s="8" t="s">
        <v>319</v>
      </c>
    </row>
    <row r="18" customFormat="false" ht="15" hidden="false" customHeight="false" outlineLevel="0" collapsed="false">
      <c r="A18" s="8" t="n">
        <v>16</v>
      </c>
      <c r="B18" s="15" t="s">
        <v>334</v>
      </c>
      <c r="C18" s="8" t="s">
        <v>319</v>
      </c>
    </row>
    <row r="19" customFormat="false" ht="15" hidden="false" customHeight="false" outlineLevel="0" collapsed="false">
      <c r="A19" s="8" t="n">
        <v>17</v>
      </c>
      <c r="B19" s="15" t="s">
        <v>335</v>
      </c>
      <c r="C19" s="8" t="s">
        <v>319</v>
      </c>
    </row>
    <row r="20" customFormat="false" ht="15" hidden="false" customHeight="false" outlineLevel="0" collapsed="false">
      <c r="A20" s="8" t="n">
        <v>18</v>
      </c>
      <c r="B20" s="15" t="s">
        <v>336</v>
      </c>
      <c r="C20" s="8" t="s">
        <v>319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2026-04-17T01:20:29Z</dcterms:created>
  <dc:creator>openpyxl</dc:creator>
  <dc:description/>
  <dc:language>en-US</dc:language>
  <cp:lastModifiedBy/>
  <dcterms:modified xsi:type="dcterms:W3CDTF">2026-04-17T01:20:29Z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